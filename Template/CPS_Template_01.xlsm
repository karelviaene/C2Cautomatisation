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830" codeName="{E5D1E7B1-6628-F0F0-D09B-76B25B5F3CD3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https://archeconsultingbe.sharepoint.com/sites/C2C/Gedeelde documenten/General/IT Platform/Program Structure/"/>
    </mc:Choice>
  </mc:AlternateContent>
  <xr:revisionPtr revIDLastSave="385" documentId="13_ncr:1_{C635D54C-A869-CD42-9AC9-7775C8514C45}" xr6:coauthVersionLast="47" xr6:coauthVersionMax="47" xr10:uidLastSave="{D390F0BA-4FB6-4245-9ABB-CAA5BB9DD3DF}"/>
  <bookViews>
    <workbookView xWindow="36760" yWindow="1280" windowWidth="30240" windowHeight="17180" tabRatio="500" xr2:uid="{00000000-000D-0000-FFFF-FFFF00000000}"/>
  </bookViews>
  <sheets>
    <sheet name="C2Coverview" sheetId="4" r:id="rId1"/>
    <sheet name="SourceText" sheetId="3" r:id="rId2"/>
  </sheets>
  <definedNames>
    <definedName name="Apparel">#REF!</definedName>
    <definedName name="Building_Materials">#REF!</definedName>
    <definedName name="CyclingScenario">#REF!</definedName>
    <definedName name="Home___Office_Supply">#REF!</definedName>
    <definedName name="Home_and_Office_Supply">#REF!</definedName>
    <definedName name="Interior_Design___Furniture">#REF!</definedName>
    <definedName name="Interior_Design_and_Furniture">#REF!</definedName>
    <definedName name="Liquid_Formulations">#REF!</definedName>
    <definedName name="Other">#REF!</definedName>
    <definedName name="Packaging___Single_Use_Products">#REF!</definedName>
    <definedName name="Packaging_and_Single_Use_Products">#REF!</definedName>
    <definedName name="Please_select">#REF!</definedName>
    <definedName name="_xlnm.Print_Area" localSheetId="0">'C2Coverview'!$A$1:$I$216</definedName>
    <definedName name="Product_Category">#REF!</definedName>
    <definedName name="Product_or_Application">#REF!</definedName>
    <definedName name="Recyclable">#REF!</definedName>
    <definedName name="TN">#REF!</definedName>
    <definedName name="Yes">#REF!</definedName>
  </definedNames>
  <calcPr calcId="191028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01" i="4" l="1"/>
  <c r="D100" i="4"/>
  <c r="D104" i="4"/>
  <c r="D103" i="4"/>
  <c r="D70" i="4"/>
  <c r="D77" i="4"/>
  <c r="D102" i="4"/>
  <c r="D99" i="4"/>
  <c r="D76" i="4"/>
  <c r="D69" i="4"/>
</calcChain>
</file>

<file path=xl/sharedStrings.xml><?xml version="1.0" encoding="utf-8"?>
<sst xmlns="http://schemas.openxmlformats.org/spreadsheetml/2006/main" count="267" uniqueCount="206">
  <si>
    <t>Arche</t>
  </si>
  <si>
    <t>General information</t>
  </si>
  <si>
    <t>Chemical name</t>
  </si>
  <si>
    <t>Common name</t>
  </si>
  <si>
    <t>CAS number</t>
  </si>
  <si>
    <t>Name assessor</t>
  </si>
  <si>
    <t>Date created/updated</t>
  </si>
  <si>
    <t xml:space="preserve"> </t>
  </si>
  <si>
    <t>Detailed profile matrix</t>
  </si>
  <si>
    <t>Criteria</t>
  </si>
  <si>
    <t>Value</t>
  </si>
  <si>
    <t>Notifiers</t>
  </si>
  <si>
    <t>Hazard Assessment</t>
  </si>
  <si>
    <t>Risk Assessment</t>
  </si>
  <si>
    <t>HUMAN HEALTH</t>
  </si>
  <si>
    <t>Carcinogenicity</t>
  </si>
  <si>
    <t>Carcinogenicity Classified CLP:</t>
  </si>
  <si>
    <t>Carcinogenicity Classified MAK:</t>
  </si>
  <si>
    <t>Carcinogenicity Classified IARC:</t>
  </si>
  <si>
    <t>Carcinogenicity Classified TLV:</t>
  </si>
  <si>
    <t>Carcinogenicity Comments:</t>
  </si>
  <si>
    <t>Disruption of endocrine system</t>
  </si>
  <si>
    <t>Endocrine Classified CLP:</t>
  </si>
  <si>
    <t>Endocrine evidence:</t>
  </si>
  <si>
    <t>Endocrine Disruption Comments:</t>
  </si>
  <si>
    <t>Mutagenicity/genotoxicity</t>
  </si>
  <si>
    <t>Mutagenicity Classified CLP:</t>
  </si>
  <si>
    <t>Mutagenicity Classified MAK:</t>
  </si>
  <si>
    <t>Point mutations: (OECD)</t>
  </si>
  <si>
    <t>Point mutations:</t>
  </si>
  <si>
    <t>Chromosome damaging:</t>
  </si>
  <si>
    <t>Mutagenicity Comments:</t>
  </si>
  <si>
    <t>Reproductive toxicity</t>
  </si>
  <si>
    <t>Reprotox Classified CLP:</t>
  </si>
  <si>
    <t>Reprotox Classified MAK:</t>
  </si>
  <si>
    <t>Oral NOAEL =</t>
  </si>
  <si>
    <t>Inhalation NOAEL =</t>
  </si>
  <si>
    <t>Reproductive Toxicity Comments:</t>
  </si>
  <si>
    <t>Development toxicity</t>
  </si>
  <si>
    <t>Developmental Classified CLP:</t>
  </si>
  <si>
    <t>Developmental Classified MAK:</t>
  </si>
  <si>
    <t>Developmental Toxicity Comments:</t>
  </si>
  <si>
    <t>Neurotoxicity</t>
  </si>
  <si>
    <t>Neurotox Classified CLP:</t>
  </si>
  <si>
    <t>Neurotox on a list:</t>
  </si>
  <si>
    <t xml:space="preserve">Neurotox scientific evidence? </t>
  </si>
  <si>
    <t>Neurotox chronic LOAEL:</t>
  </si>
  <si>
    <t>Neurtox STOT LOAEL:</t>
  </si>
  <si>
    <t>Neurotox Comments:</t>
  </si>
  <si>
    <t>Oral toxicity</t>
  </si>
  <si>
    <t>Oral toxicity Acute Tox classified:</t>
  </si>
  <si>
    <t>Oral toxicity STOT classified:</t>
  </si>
  <si>
    <t>Oral Acute: LD50 =</t>
  </si>
  <si>
    <t>mg/kg bw</t>
  </si>
  <si>
    <t>Oral Chronic: LOAEL =</t>
  </si>
  <si>
    <t>mg/kg  bw/day</t>
  </si>
  <si>
    <t>Oral Toxicity Comments:</t>
  </si>
  <si>
    <t>Inhalative toxicity</t>
  </si>
  <si>
    <t>Inhalative toxicity Acute Tox classification:</t>
  </si>
  <si>
    <t>Inhalative toxicity STOT classified:</t>
  </si>
  <si>
    <t>Acute: LC50 (gas) =</t>
  </si>
  <si>
    <t>Acute: LC50 (vapor) =</t>
  </si>
  <si>
    <t>Acute: LC50 (dust/mist/aerosol) =</t>
  </si>
  <si>
    <t>Chronic: LOAEL (gas) =</t>
  </si>
  <si>
    <t>Chronic: LOAEL (vapor) =</t>
  </si>
  <si>
    <t>Chronic: LOAEL (dust/mist/aerosol) =</t>
  </si>
  <si>
    <t xml:space="preserve">Boiling Point: </t>
  </si>
  <si>
    <t>Inhalative Toxicity Comments:</t>
  </si>
  <si>
    <t>Dermal toxicity</t>
  </si>
  <si>
    <t>Dermal toxicity Acute Tox classified:</t>
  </si>
  <si>
    <t>Dermal toxicity STOT classified:</t>
  </si>
  <si>
    <t>Dermal Acute: LD50 =</t>
  </si>
  <si>
    <t>mg/kg  bw</t>
  </si>
  <si>
    <t>Dermal Chronic: LOAEL =</t>
  </si>
  <si>
    <t>Dermal Toxicity Comments:</t>
  </si>
  <si>
    <t>Skin, Eye, Respiratory corrosion/irritation</t>
  </si>
  <si>
    <t>Skin irritation classification:</t>
  </si>
  <si>
    <t>Skin testing: conclusion:</t>
  </si>
  <si>
    <t>Eye irritation classification:</t>
  </si>
  <si>
    <t>Eye testing conclusion:</t>
  </si>
  <si>
    <t>Respiratory irritation classification:</t>
  </si>
  <si>
    <t>Respiratory testing conclusion:</t>
  </si>
  <si>
    <t>Sensitization</t>
  </si>
  <si>
    <t>Skin sensitization classification:</t>
  </si>
  <si>
    <t>Skin sensitization testing conclusion:</t>
  </si>
  <si>
    <t>Skin sensitization classified MAK:</t>
  </si>
  <si>
    <t>Inhalation sensitization classification:</t>
  </si>
  <si>
    <t>Inhalation sensitization testing conclusion:</t>
  </si>
  <si>
    <t>Inhalation sensitization classified MAK:</t>
  </si>
  <si>
    <t>Other</t>
  </si>
  <si>
    <t>Assessment</t>
  </si>
  <si>
    <t>ENVIRONMENTAL HEALTH</t>
  </si>
  <si>
    <t>Fish toxicity</t>
  </si>
  <si>
    <t>Fish toxicity Acute: LC50 (96h) =</t>
  </si>
  <si>
    <t>mg/L</t>
  </si>
  <si>
    <t>Fish toxicity Chronic: NOEC =</t>
  </si>
  <si>
    <t>Water solubility:</t>
  </si>
  <si>
    <t xml:space="preserve">M factor: </t>
  </si>
  <si>
    <t>Invertebrate toxicity</t>
  </si>
  <si>
    <t>Invertebrae toxicity Chronic: NOEC =</t>
  </si>
  <si>
    <t>Algae toxicity</t>
  </si>
  <si>
    <t>Algae toxicity Acute: L(E)C50 (72/96h) =</t>
  </si>
  <si>
    <t>Algae toxicity Chronic: NOEC =</t>
  </si>
  <si>
    <t>Other species toxicity</t>
  </si>
  <si>
    <t>Any other CLP species classification:</t>
  </si>
  <si>
    <t>Terrestrial toxicity</t>
  </si>
  <si>
    <t>Terrestial toxicity CLP classification:</t>
  </si>
  <si>
    <t>Bioaccumulation</t>
  </si>
  <si>
    <t>BCF/BAF (QSAR):</t>
  </si>
  <si>
    <t>BCF/BAF (experimental):</t>
  </si>
  <si>
    <t>Log kow:</t>
  </si>
  <si>
    <t>Molecular weight:</t>
  </si>
  <si>
    <t>g/mol</t>
  </si>
  <si>
    <t>Persistence</t>
  </si>
  <si>
    <t>Degradation halflife time in air:</t>
  </si>
  <si>
    <t>Degradation halflife time in water</t>
  </si>
  <si>
    <t>soil or sediment:</t>
  </si>
  <si>
    <t>QSAR prediction:</t>
  </si>
  <si>
    <t>Climatic relevance/ozone depletion potential</t>
  </si>
  <si>
    <t>Yes or no</t>
  </si>
  <si>
    <t>CHEMICAL CLASS</t>
  </si>
  <si>
    <t>Toxic metal</t>
  </si>
  <si>
    <t>Colourant</t>
  </si>
  <si>
    <t>Geological</t>
  </si>
  <si>
    <t>Polymer</t>
  </si>
  <si>
    <t>Combined PB risk flag</t>
  </si>
  <si>
    <t>Combined aquatic risk flag</t>
  </si>
  <si>
    <t>OTHER INFORMATION</t>
  </si>
  <si>
    <t>Molecular weight</t>
  </si>
  <si>
    <t>Boiling point</t>
  </si>
  <si>
    <t>Log kow (octanol-water partition coefficient)</t>
  </si>
  <si>
    <t>Vapor pressure</t>
  </si>
  <si>
    <t>Water solubility</t>
  </si>
  <si>
    <t>SMILES</t>
  </si>
  <si>
    <t>Literature sources</t>
  </si>
  <si>
    <t>IPCS INCHEM</t>
  </si>
  <si>
    <t>EPA Ecotox</t>
  </si>
  <si>
    <t>ECHA dessimination website</t>
  </si>
  <si>
    <t>eChemPortal</t>
  </si>
  <si>
    <t>IARC</t>
  </si>
  <si>
    <t>In Pharos</t>
  </si>
  <si>
    <t>ECHA C&amp;L inventory</t>
  </si>
  <si>
    <t>(In pharos)</t>
  </si>
  <si>
    <t>MAK</t>
  </si>
  <si>
    <t>HSBD</t>
  </si>
  <si>
    <t>Colborn list</t>
  </si>
  <si>
    <t>California Proposition 65 list</t>
  </si>
  <si>
    <t>Mundy</t>
  </si>
  <si>
    <t>HPVIS</t>
  </si>
  <si>
    <t>grandjean et al</t>
  </si>
  <si>
    <t>Montreal protocol</t>
  </si>
  <si>
    <t>IPCC</t>
  </si>
  <si>
    <t>EPA ozone depleting substance</t>
  </si>
  <si>
    <t>UBA WGK</t>
  </si>
  <si>
    <t>REACH restricted substances</t>
  </si>
  <si>
    <t>candidate list for SVHC</t>
  </si>
  <si>
    <t>POPs list of Stockholm convention</t>
  </si>
  <si>
    <t>Pharos</t>
  </si>
  <si>
    <t>Endocrine</t>
  </si>
  <si>
    <t>Excel table</t>
  </si>
  <si>
    <t>https://echa.europa.eu/information-on-chemicals</t>
  </si>
  <si>
    <t>Mutation entry</t>
  </si>
  <si>
    <t>Password to unlock sheet: Arche</t>
  </si>
  <si>
    <t>Click here to add test</t>
  </si>
  <si>
    <t>Chromosome damaging: (OECD)</t>
  </si>
  <si>
    <t>Mutagenicity test: (other)</t>
  </si>
  <si>
    <t>Classified or listed:</t>
  </si>
  <si>
    <t>Not listed</t>
  </si>
  <si>
    <t>No data</t>
  </si>
  <si>
    <t>Fill in name of test</t>
  </si>
  <si>
    <t xml:space="preserve">Score grey/x/c/b/a/purple is automatically determined based on input in persistence and bioaccumulation endpoints. </t>
  </si>
  <si>
    <t>Molecular Formula or chemical picture</t>
  </si>
  <si>
    <t>Linked CAS Monomers</t>
  </si>
  <si>
    <t>Linked CAS Read across</t>
  </si>
  <si>
    <t>Linked CAS Degradation Products</t>
  </si>
  <si>
    <t>Colorant type</t>
  </si>
  <si>
    <t>Organohalogen</t>
  </si>
  <si>
    <t>Carcinogenicity experimental evidence</t>
  </si>
  <si>
    <t>Oral toxicity Asp Tox classified:</t>
  </si>
  <si>
    <t>Specific Concentration Limits</t>
  </si>
  <si>
    <t>Lower Limit: (%)</t>
  </si>
  <si>
    <t>Upper Limit: (%)</t>
  </si>
  <si>
    <t>°C</t>
  </si>
  <si>
    <t>Hazard classification:</t>
  </si>
  <si>
    <t>pH</t>
  </si>
  <si>
    <t>pH:</t>
  </si>
  <si>
    <t>Aquatic toxicity Acute Tox classified:</t>
  </si>
  <si>
    <t>Aquatic toxicity Chronic Tox classified:</t>
  </si>
  <si>
    <t>OECD 301: % DOC biodegradation after 28 days:</t>
  </si>
  <si>
    <t>OECD 301: % ThOD biodegradation after 28 days:</t>
  </si>
  <si>
    <t>Persistence comments:</t>
  </si>
  <si>
    <t xml:space="preserve">OECD 302 or OECD 304A: % inherent biodegradation: </t>
  </si>
  <si>
    <t>100 year GWP</t>
  </si>
  <si>
    <t>ODP</t>
  </si>
  <si>
    <t>Boiling Point</t>
  </si>
  <si>
    <t>VOC</t>
  </si>
  <si>
    <t>SVHC</t>
  </si>
  <si>
    <t>Bioaccumulation comments:</t>
  </si>
  <si>
    <t>Climatic relevance comments:</t>
  </si>
  <si>
    <t>Fish toxicity Acute QSAR: LC50 =</t>
  </si>
  <si>
    <t>Invertebrate toxicity Acute: L(E)C50 (48h) =</t>
  </si>
  <si>
    <t>Fish toxicity Chronic QSAR: NOAEL =</t>
  </si>
  <si>
    <t>Invertebrae toxicity Acute QSAR: LC50 =</t>
  </si>
  <si>
    <t>Invertebrae toxicity Chronic QSAR: NOAEL =</t>
  </si>
  <si>
    <t>Algae toxicity Acute QSAR: LC50 =</t>
  </si>
  <si>
    <t>Algae toxicity Chronic QSAR: NOAEL 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</si>
</sst>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;@"/>
  </numFmts>
  <fonts count="10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trike/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3F7FF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80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116">
    <xf numFmtId="0" fontId="0" fillId="0" borderId="0" xfId="0"/>
    <xf numFmtId="164" fontId="0" fillId="0" borderId="0" xfId="0" applyNumberFormat="1" applyAlignment="1">
      <alignment horizontal="left"/>
    </xf>
    <xf numFmtId="0" fontId="1" fillId="0" borderId="0" xfId="0" applyFont="1"/>
    <xf numFmtId="0" fontId="4" fillId="0" borderId="0" xfId="0" applyFont="1"/>
    <xf numFmtId="0" fontId="5" fillId="0" borderId="0" xfId="0" applyFont="1"/>
    <xf numFmtId="0" fontId="1" fillId="0" borderId="1" xfId="0" applyFont="1" applyBorder="1"/>
    <xf numFmtId="0" fontId="1" fillId="0" borderId="8" xfId="0" applyFont="1" applyBorder="1"/>
    <xf numFmtId="0" fontId="0" fillId="2" borderId="0" xfId="0" applyFill="1"/>
    <xf numFmtId="0" fontId="0" fillId="0" borderId="2" xfId="0" applyBorder="1"/>
    <xf numFmtId="0" fontId="0" fillId="0" borderId="4" xfId="0" applyBorder="1"/>
    <xf numFmtId="0" fontId="6" fillId="0" borderId="0" xfId="0" applyFont="1"/>
    <xf numFmtId="0" fontId="0" fillId="0" borderId="0" xfId="0" quotePrefix="1"/>
    <xf numFmtId="0" fontId="0" fillId="3" borderId="0" xfId="0" applyFill="1"/>
    <xf numFmtId="16" fontId="0" fillId="3" borderId="0" xfId="0" applyNumberFormat="1" applyFill="1"/>
    <xf numFmtId="0" fontId="0" fillId="0" borderId="0" xfId="0" applyAlignment="1">
      <alignment horizontal="center"/>
    </xf>
    <xf numFmtId="0" fontId="4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0" borderId="3" xfId="0" applyBorder="1" applyAlignment="1">
      <alignment horizontal="right"/>
    </xf>
    <xf numFmtId="0" fontId="2" fillId="0" borderId="0" xfId="279" applyAlignment="1">
      <alignment horizontal="right"/>
    </xf>
    <xf numFmtId="0" fontId="2" fillId="0" borderId="0" xfId="279" applyFill="1" applyBorder="1" applyAlignment="1">
      <alignment horizontal="right"/>
    </xf>
    <xf numFmtId="0" fontId="2" fillId="3" borderId="0" xfId="279" applyFill="1" applyBorder="1" applyAlignment="1">
      <alignment horizontal="right"/>
    </xf>
    <xf numFmtId="0" fontId="0" fillId="2" borderId="1" xfId="0" applyFill="1" applyBorder="1"/>
    <xf numFmtId="0" fontId="0" fillId="2" borderId="6" xfId="0" applyFill="1" applyBorder="1" applyAlignment="1">
      <alignment horizontal="right"/>
    </xf>
    <xf numFmtId="0" fontId="0" fillId="2" borderId="7" xfId="0" applyFill="1" applyBorder="1"/>
    <xf numFmtId="0" fontId="0" fillId="2" borderId="8" xfId="0" applyFill="1" applyBorder="1"/>
    <xf numFmtId="0" fontId="0" fillId="0" borderId="9" xfId="0" applyBorder="1"/>
    <xf numFmtId="0" fontId="0" fillId="0" borderId="10" xfId="0" applyBorder="1"/>
    <xf numFmtId="0" fontId="0" fillId="0" borderId="5" xfId="0" applyBorder="1"/>
    <xf numFmtId="0" fontId="0" fillId="0" borderId="3" xfId="0" applyBorder="1"/>
    <xf numFmtId="0" fontId="0" fillId="0" borderId="12" xfId="0" applyBorder="1"/>
    <xf numFmtId="49" fontId="0" fillId="0" borderId="0" xfId="0" applyNumberFormat="1"/>
    <xf numFmtId="0" fontId="0" fillId="2" borderId="0" xfId="0" applyFill="1" applyAlignment="1">
      <alignment horizontal="right"/>
    </xf>
    <xf numFmtId="0" fontId="0" fillId="2" borderId="7" xfId="0" applyFill="1" applyBorder="1" applyAlignment="1">
      <alignment horizontal="right"/>
    </xf>
    <xf numFmtId="0" fontId="0" fillId="0" borderId="12" xfId="0" applyBorder="1" applyAlignment="1">
      <alignment horizontal="right"/>
    </xf>
    <xf numFmtId="0" fontId="0" fillId="0" borderId="11" xfId="0" applyBorder="1" applyAlignment="1">
      <alignment horizontal="right"/>
    </xf>
    <xf numFmtId="0" fontId="0" fillId="5" borderId="9" xfId="0" applyFill="1" applyBorder="1"/>
    <xf numFmtId="0" fontId="0" fillId="5" borderId="6" xfId="0" applyFill="1" applyBorder="1" applyAlignment="1">
      <alignment horizontal="right"/>
    </xf>
    <xf numFmtId="0" fontId="0" fillId="5" borderId="7" xfId="0" applyFill="1" applyBorder="1"/>
    <xf numFmtId="0" fontId="0" fillId="5" borderId="8" xfId="0" applyFill="1" applyBorder="1"/>
    <xf numFmtId="0" fontId="0" fillId="5" borderId="1" xfId="0" applyFill="1" applyBorder="1"/>
    <xf numFmtId="0" fontId="0" fillId="5" borderId="2" xfId="0" applyFill="1" applyBorder="1"/>
    <xf numFmtId="0" fontId="0" fillId="5" borderId="0" xfId="0" applyFill="1"/>
    <xf numFmtId="0" fontId="0" fillId="5" borderId="4" xfId="0" applyFill="1" applyBorder="1"/>
    <xf numFmtId="0" fontId="0" fillId="5" borderId="3" xfId="0" applyFill="1" applyBorder="1"/>
    <xf numFmtId="0" fontId="0" fillId="5" borderId="3" xfId="0" applyFill="1" applyBorder="1" applyAlignment="1">
      <alignment horizontal="right"/>
    </xf>
    <xf numFmtId="0" fontId="0" fillId="5" borderId="2" xfId="0" applyFill="1" applyBorder="1" applyAlignment="1">
      <alignment horizontal="center"/>
    </xf>
    <xf numFmtId="0" fontId="0" fillId="6" borderId="1" xfId="0" applyFill="1" applyBorder="1"/>
    <xf numFmtId="0" fontId="7" fillId="5" borderId="2" xfId="0" applyFont="1" applyFill="1" applyBorder="1" applyAlignment="1">
      <alignment horizontal="center" wrapText="1"/>
    </xf>
    <xf numFmtId="0" fontId="7" fillId="2" borderId="8" xfId="0" applyFont="1" applyFill="1" applyBorder="1" applyAlignment="1">
      <alignment wrapText="1"/>
    </xf>
    <xf numFmtId="0" fontId="7" fillId="5" borderId="4" xfId="0" applyFont="1" applyFill="1" applyBorder="1" applyAlignment="1">
      <alignment horizontal="center" wrapText="1"/>
    </xf>
    <xf numFmtId="0" fontId="7" fillId="5" borderId="2" xfId="0" applyFont="1" applyFill="1" applyBorder="1" applyAlignment="1">
      <alignment wrapText="1"/>
    </xf>
    <xf numFmtId="0" fontId="7" fillId="5" borderId="2" xfId="0" applyFont="1" applyFill="1" applyBorder="1" applyAlignment="1">
      <alignment horizontal="center"/>
    </xf>
    <xf numFmtId="0" fontId="7" fillId="5" borderId="4" xfId="0" applyFont="1" applyFill="1" applyBorder="1" applyAlignment="1">
      <alignment horizontal="center"/>
    </xf>
    <xf numFmtId="0" fontId="7" fillId="5" borderId="2" xfId="0" applyFont="1" applyFill="1" applyBorder="1"/>
    <xf numFmtId="2" fontId="0" fillId="7" borderId="1" xfId="0" applyNumberFormat="1" applyFill="1" applyBorder="1"/>
    <xf numFmtId="0" fontId="0" fillId="7" borderId="1" xfId="0" applyFill="1" applyBorder="1"/>
    <xf numFmtId="0" fontId="0" fillId="7" borderId="9" xfId="0" applyFill="1" applyBorder="1"/>
    <xf numFmtId="0" fontId="0" fillId="0" borderId="0" xfId="0" applyAlignment="1">
      <alignment horizontal="left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0" fillId="0" borderId="7" xfId="0" applyBorder="1"/>
    <xf numFmtId="0" fontId="7" fillId="0" borderId="7" xfId="0" applyFont="1" applyBorder="1" applyAlignment="1">
      <alignment horizontal="center"/>
    </xf>
    <xf numFmtId="0" fontId="1" fillId="8" borderId="13" xfId="0" applyFont="1" applyFill="1" applyBorder="1"/>
    <xf numFmtId="0" fontId="0" fillId="0" borderId="0" xfId="0" applyAlignment="1">
      <alignment horizontal="left" vertical="center"/>
    </xf>
    <xf numFmtId="3" fontId="0" fillId="7" borderId="1" xfId="0" applyNumberFormat="1" applyFill="1" applyBorder="1"/>
    <xf numFmtId="0" fontId="0" fillId="0" borderId="3" xfId="0" applyBorder="1" applyAlignment="1">
      <alignment horizontal="right" wrapText="1"/>
    </xf>
    <xf numFmtId="0" fontId="7" fillId="0" borderId="4" xfId="0" applyFont="1" applyBorder="1" applyAlignment="1">
      <alignment horizontal="center"/>
    </xf>
    <xf numFmtId="0" fontId="0" fillId="6" borderId="6" xfId="0" applyFill="1" applyBorder="1" applyAlignment="1">
      <alignment horizontal="left"/>
    </xf>
    <xf numFmtId="0" fontId="0" fillId="6" borderId="8" xfId="0" applyFill="1" applyBorder="1" applyAlignment="1">
      <alignment horizontal="left"/>
    </xf>
    <xf numFmtId="0" fontId="7" fillId="0" borderId="2" xfId="0" applyFont="1" applyBorder="1" applyAlignment="1">
      <alignment horizontal="center" wrapText="1"/>
    </xf>
    <xf numFmtId="0" fontId="7" fillId="0" borderId="2" xfId="0" applyFont="1" applyBorder="1" applyAlignment="1">
      <alignment horizontal="center"/>
    </xf>
    <xf numFmtId="0" fontId="0" fillId="6" borderId="7" xfId="0" applyFill="1" applyBorder="1" applyAlignment="1">
      <alignment horizontal="left"/>
    </xf>
    <xf numFmtId="0" fontId="0" fillId="6" borderId="1" xfId="0" applyFill="1" applyBorder="1" applyAlignment="1">
      <alignment horizontal="left"/>
    </xf>
    <xf numFmtId="0" fontId="0" fillId="0" borderId="3" xfId="0" applyBorder="1" applyAlignment="1">
      <alignment horizontal="left"/>
    </xf>
    <xf numFmtId="0" fontId="0" fillId="5" borderId="3" xfId="0" applyFill="1" applyBorder="1" applyAlignment="1">
      <alignment horizontal="left"/>
    </xf>
    <xf numFmtId="0" fontId="7" fillId="4" borderId="4" xfId="0" applyFont="1" applyFill="1" applyBorder="1" applyAlignment="1">
      <alignment horizontal="center" wrapText="1"/>
    </xf>
    <xf numFmtId="0" fontId="1" fillId="8" borderId="0" xfId="0" applyFont="1" applyFill="1"/>
    <xf numFmtId="0" fontId="0" fillId="0" borderId="0" xfId="0" applyAlignment="1">
      <alignment wrapText="1"/>
    </xf>
    <xf numFmtId="0" fontId="7" fillId="9" borderId="2" xfId="0" applyFont="1" applyFill="1" applyBorder="1" applyAlignment="1">
      <alignment horizontal="center" wrapText="1"/>
    </xf>
    <xf numFmtId="0" fontId="7" fillId="0" borderId="2" xfId="0" applyFont="1" applyBorder="1" applyAlignment="1">
      <alignment horizontal="center" wrapText="1"/>
    </xf>
    <xf numFmtId="0" fontId="7" fillId="0" borderId="2" xfId="0" applyFont="1" applyBorder="1" applyAlignment="1">
      <alignment horizontal="center"/>
    </xf>
    <xf numFmtId="0" fontId="7" fillId="4" borderId="2" xfId="0" applyFont="1" applyFill="1" applyBorder="1" applyAlignment="1">
      <alignment horizontal="center" wrapText="1"/>
    </xf>
    <xf numFmtId="0" fontId="7" fillId="4" borderId="10" xfId="0" applyFont="1" applyFill="1" applyBorder="1" applyAlignment="1">
      <alignment horizontal="center" wrapText="1"/>
    </xf>
    <xf numFmtId="0" fontId="7" fillId="0" borderId="10" xfId="0" applyFont="1" applyBorder="1" applyAlignment="1">
      <alignment horizontal="center"/>
    </xf>
    <xf numFmtId="0" fontId="0" fillId="6" borderId="6" xfId="0" applyFill="1" applyBorder="1" applyAlignment="1">
      <alignment horizontal="left" wrapText="1"/>
    </xf>
    <xf numFmtId="0" fontId="0" fillId="6" borderId="7" xfId="0" applyFill="1" applyBorder="1" applyAlignment="1">
      <alignment horizontal="left" wrapText="1"/>
    </xf>
    <xf numFmtId="0" fontId="0" fillId="6" borderId="8" xfId="0" applyFill="1" applyBorder="1" applyAlignment="1">
      <alignment horizontal="left" wrapText="1"/>
    </xf>
    <xf numFmtId="0" fontId="7" fillId="0" borderId="9" xfId="0" applyFont="1" applyBorder="1" applyAlignment="1">
      <alignment horizontal="center" wrapText="1"/>
    </xf>
    <xf numFmtId="0" fontId="7" fillId="0" borderId="9" xfId="0" applyFont="1" applyBorder="1" applyAlignment="1">
      <alignment horizontal="center"/>
    </xf>
    <xf numFmtId="0" fontId="0" fillId="6" borderId="6" xfId="0" applyFill="1" applyBorder="1" applyAlignment="1">
      <alignment horizontal="left"/>
    </xf>
    <xf numFmtId="0" fontId="0" fillId="6" borderId="7" xfId="0" applyFill="1" applyBorder="1" applyAlignment="1">
      <alignment horizontal="left"/>
    </xf>
    <xf numFmtId="0" fontId="0" fillId="6" borderId="8" xfId="0" applyFill="1" applyBorder="1" applyAlignment="1">
      <alignment horizontal="left"/>
    </xf>
    <xf numFmtId="0" fontId="7" fillId="0" borderId="4" xfId="0" applyFont="1" applyBorder="1" applyAlignment="1">
      <alignment horizontal="center" wrapText="1"/>
    </xf>
    <xf numFmtId="0" fontId="7" fillId="4" borderId="2" xfId="0" applyFont="1" applyFill="1" applyBorder="1" applyAlignment="1">
      <alignment horizontal="center"/>
    </xf>
    <xf numFmtId="0" fontId="7" fillId="9" borderId="2" xfId="0" applyFont="1" applyFill="1" applyBorder="1" applyAlignment="1">
      <alignment horizontal="center" wrapText="1"/>
    </xf>
    <xf numFmtId="0" fontId="7" fillId="10" borderId="2" xfId="0" applyFont="1" applyFill="1" applyBorder="1" applyAlignment="1">
      <alignment horizontal="center" wrapText="1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7" fillId="4" borderId="9" xfId="0" applyFont="1" applyFill="1" applyBorder="1" applyAlignment="1">
      <alignment horizontal="center" wrapText="1"/>
    </xf>
    <xf numFmtId="0" fontId="0" fillId="5" borderId="0" xfId="0" applyFill="1" applyBorder="1" applyAlignment="1">
      <alignment horizontal="right"/>
    </xf>
    <xf numFmtId="0" fontId="9" fillId="0" borderId="0" xfId="0" applyFont="1" applyAlignment="1">
      <alignment horizontal="left" wrapText="1"/>
    </xf>
    <xf numFmtId="0" fontId="4" fillId="0" borderId="0" xfId="0" applyFont="1" applyAlignment="1">
      <alignment horizontal="left"/>
    </xf>
    <xf numFmtId="0" fontId="4" fillId="0" borderId="0" xfId="0" applyFont="1" applyAlignment="1">
      <alignment wrapText="1"/>
    </xf>
    <xf numFmtId="0" fontId="0" fillId="0" borderId="4" xfId="0" applyFill="1" applyBorder="1"/>
    <xf numFmtId="0" fontId="0" fillId="0" borderId="0" xfId="0" applyFill="1" applyBorder="1" applyAlignment="1">
      <alignment horizontal="right"/>
    </xf>
    <xf numFmtId="0" fontId="0" fillId="0" borderId="0" xfId="0" applyFill="1"/>
    <xf numFmtId="0" fontId="0" fillId="0" borderId="2" xfId="0" applyFill="1" applyBorder="1"/>
    <xf numFmtId="0" fontId="7" fillId="0" borderId="2" xfId="0" applyFont="1" applyFill="1" applyBorder="1" applyAlignment="1">
      <alignment horizontal="center" wrapText="1"/>
    </xf>
    <xf numFmtId="0" fontId="7" fillId="0" borderId="2" xfId="0" applyFont="1" applyFill="1" applyBorder="1" applyAlignment="1">
      <alignment horizontal="center"/>
    </xf>
    <xf numFmtId="0" fontId="0" fillId="6" borderId="1" xfId="0" applyFill="1" applyBorder="1" applyAlignment="1"/>
    <xf numFmtId="0" fontId="0" fillId="0" borderId="0" xfId="0" applyFill="1" applyBorder="1"/>
    <xf numFmtId="0" fontId="0" fillId="0" borderId="1" xfId="0" applyFill="1" applyBorder="1"/>
    <xf numFmtId="0" fontId="0" fillId="0" borderId="1" xfId="0" applyBorder="1"/>
    <xf numFmtId="0" fontId="7" fillId="0" borderId="2" xfId="0" applyFont="1" applyFill="1" applyBorder="1" applyAlignment="1">
      <alignment horizontal="center" wrapText="1"/>
    </xf>
  </cellXfs>
  <cellStyles count="280">
    <cellStyle name="Followed Hyperlink" xfId="46" builtinId="9" hidden="1"/>
    <cellStyle name="Followed Hyperlink" xfId="28" builtinId="9" hidden="1"/>
    <cellStyle name="Followed Hyperlink" xfId="270" builtinId="9" hidden="1"/>
    <cellStyle name="Followed Hyperlink" xfId="230" builtinId="9" hidden="1"/>
    <cellStyle name="Followed Hyperlink" xfId="190" builtinId="9" hidden="1"/>
    <cellStyle name="Followed Hyperlink" xfId="142" builtinId="9" hidden="1"/>
    <cellStyle name="Followed Hyperlink" xfId="118" builtinId="9" hidden="1"/>
    <cellStyle name="Followed Hyperlink" xfId="246" builtinId="9" hidden="1"/>
    <cellStyle name="Followed Hyperlink" xfId="256" builtinId="9" hidden="1"/>
    <cellStyle name="Followed Hyperlink" xfId="216" builtinId="9" hidden="1"/>
    <cellStyle name="Followed Hyperlink" xfId="200" builtinId="9" hidden="1"/>
    <cellStyle name="Followed Hyperlink" xfId="248" builtinId="9" hidden="1"/>
    <cellStyle name="Followed Hyperlink" xfId="240" builtinId="9" hidden="1"/>
    <cellStyle name="Followed Hyperlink" xfId="214" builtinId="9" hidden="1"/>
    <cellStyle name="Followed Hyperlink" xfId="110" builtinId="9" hidden="1"/>
    <cellStyle name="Followed Hyperlink" xfId="158" builtinId="9" hidden="1"/>
    <cellStyle name="Followed Hyperlink" xfId="198" builtinId="9" hidden="1"/>
    <cellStyle name="Followed Hyperlink" xfId="238" builtinId="9" hidden="1"/>
    <cellStyle name="Followed Hyperlink" xfId="102" builtinId="9" hidden="1"/>
    <cellStyle name="Followed Hyperlink" xfId="40" builtinId="9" hidden="1"/>
    <cellStyle name="Followed Hyperlink" xfId="10" builtinId="9" hidden="1"/>
    <cellStyle name="Followed Hyperlink" xfId="18" builtinId="9" hidden="1"/>
    <cellStyle name="Followed Hyperlink" xfId="48" builtinId="9" hidden="1"/>
    <cellStyle name="Followed Hyperlink" xfId="90" builtinId="9" hidden="1"/>
    <cellStyle name="Followed Hyperlink" xfId="154" builtinId="9" hidden="1"/>
    <cellStyle name="Followed Hyperlink" xfId="218" builtinId="9" hidden="1"/>
    <cellStyle name="Followed Hyperlink" xfId="276" builtinId="9" hidden="1"/>
    <cellStyle name="Followed Hyperlink" xfId="212" builtinId="9" hidden="1"/>
    <cellStyle name="Followed Hyperlink" xfId="136" builtinId="9" hidden="1"/>
    <cellStyle name="Followed Hyperlink" xfId="180" builtinId="9" hidden="1"/>
    <cellStyle name="Followed Hyperlink" xfId="108" builtinId="9" hidden="1"/>
    <cellStyle name="Followed Hyperlink" xfId="80" builtinId="9" hidden="1"/>
    <cellStyle name="Followed Hyperlink" xfId="104" builtinId="9" hidden="1"/>
    <cellStyle name="Followed Hyperlink" xfId="156" builtinId="9" hidden="1"/>
    <cellStyle name="Followed Hyperlink" xfId="164" builtinId="9" hidden="1"/>
    <cellStyle name="Followed Hyperlink" xfId="120" builtinId="9" hidden="1"/>
    <cellStyle name="Followed Hyperlink" xfId="236" builtinId="9" hidden="1"/>
    <cellStyle name="Followed Hyperlink" xfId="14" builtinId="9" hidden="1"/>
    <cellStyle name="Followed Hyperlink" xfId="38" builtinId="9" hidden="1"/>
    <cellStyle name="Followed Hyperlink" xfId="42" builtinId="9" hidden="1"/>
    <cellStyle name="Followed Hyperlink" xfId="82" builtinId="9" hidden="1"/>
    <cellStyle name="Followed Hyperlink" xfId="114" builtinId="9" hidden="1"/>
    <cellStyle name="Followed Hyperlink" xfId="162" builtinId="9" hidden="1"/>
    <cellStyle name="Followed Hyperlink" xfId="210" builtinId="9" hidden="1"/>
    <cellStyle name="Followed Hyperlink" xfId="242" builtinId="9" hidden="1"/>
    <cellStyle name="Followed Hyperlink" xfId="258" builtinId="9" hidden="1"/>
    <cellStyle name="Followed Hyperlink" xfId="130" builtinId="9" hidden="1"/>
    <cellStyle name="Followed Hyperlink" xfId="64" builtinId="9" hidden="1"/>
    <cellStyle name="Followed Hyperlink" xfId="44" builtinId="9" hidden="1"/>
    <cellStyle name="Followed Hyperlink" xfId="30" builtinId="9" hidden="1"/>
    <cellStyle name="Followed Hyperlink" xfId="6" builtinId="9" hidden="1"/>
    <cellStyle name="Followed Hyperlink" xfId="24" builtinId="9" hidden="1"/>
    <cellStyle name="Followed Hyperlink" xfId="78" builtinId="9" hidden="1"/>
    <cellStyle name="Followed Hyperlink" xfId="94" builtinId="9" hidden="1"/>
    <cellStyle name="Followed Hyperlink" xfId="34" builtinId="9" hidden="1"/>
    <cellStyle name="Followed Hyperlink" xfId="62" builtinId="9" hidden="1"/>
    <cellStyle name="Followed Hyperlink" xfId="16" builtinId="9" hidden="1"/>
    <cellStyle name="Followed Hyperlink" xfId="56" builtinId="9" hidden="1"/>
    <cellStyle name="Followed Hyperlink" xfId="2" builtinId="9" hidden="1"/>
    <cellStyle name="Followed Hyperlink" xfId="66" builtinId="9" hidden="1"/>
    <cellStyle name="Followed Hyperlink" xfId="194" builtinId="9" hidden="1"/>
    <cellStyle name="Followed Hyperlink" xfId="274" builtinId="9" hidden="1"/>
    <cellStyle name="Followed Hyperlink" xfId="226" builtinId="9" hidden="1"/>
    <cellStyle name="Followed Hyperlink" xfId="178" builtinId="9" hidden="1"/>
    <cellStyle name="Followed Hyperlink" xfId="146" builtinId="9" hidden="1"/>
    <cellStyle name="Followed Hyperlink" xfId="98" builtinId="9" hidden="1"/>
    <cellStyle name="Followed Hyperlink" xfId="32" builtinId="9" hidden="1"/>
    <cellStyle name="Followed Hyperlink" xfId="52" builtinId="9" hidden="1"/>
    <cellStyle name="Followed Hyperlink" xfId="12" builtinId="9" hidden="1"/>
    <cellStyle name="Followed Hyperlink" xfId="268" builtinId="9" hidden="1"/>
    <cellStyle name="Followed Hyperlink" xfId="204" builtinId="9" hidden="1"/>
    <cellStyle name="Followed Hyperlink" xfId="144" builtinId="9" hidden="1"/>
    <cellStyle name="Followed Hyperlink" xfId="184" builtinId="9" hidden="1"/>
    <cellStyle name="Followed Hyperlink" xfId="84" builtinId="9" hidden="1"/>
    <cellStyle name="Followed Hyperlink" xfId="72" builtinId="9" hidden="1"/>
    <cellStyle name="Followed Hyperlink" xfId="100" builtinId="9" hidden="1"/>
    <cellStyle name="Followed Hyperlink" xfId="172" builtinId="9" hidden="1"/>
    <cellStyle name="Followed Hyperlink" xfId="160" builtinId="9" hidden="1"/>
    <cellStyle name="Followed Hyperlink" xfId="116" builtinId="9" hidden="1"/>
    <cellStyle name="Followed Hyperlink" xfId="244" builtinId="9" hidden="1"/>
    <cellStyle name="Followed Hyperlink" xfId="250" builtinId="9" hidden="1"/>
    <cellStyle name="Followed Hyperlink" xfId="186" builtinId="9" hidden="1"/>
    <cellStyle name="Followed Hyperlink" xfId="122" builtinId="9" hidden="1"/>
    <cellStyle name="Followed Hyperlink" xfId="26" builtinId="9" hidden="1"/>
    <cellStyle name="Followed Hyperlink" xfId="54" builtinId="9" hidden="1"/>
    <cellStyle name="Followed Hyperlink" xfId="4" builtinId="9" hidden="1"/>
    <cellStyle name="Followed Hyperlink" xfId="60" builtinId="9" hidden="1"/>
    <cellStyle name="Followed Hyperlink" xfId="70" builtinId="9" hidden="1"/>
    <cellStyle name="Followed Hyperlink" xfId="262" builtinId="9" hidden="1"/>
    <cellStyle name="Followed Hyperlink" xfId="222" builtinId="9" hidden="1"/>
    <cellStyle name="Followed Hyperlink" xfId="174" builtinId="9" hidden="1"/>
    <cellStyle name="Followed Hyperlink" xfId="134" builtinId="9" hidden="1"/>
    <cellStyle name="Followed Hyperlink" xfId="150" builtinId="9" hidden="1"/>
    <cellStyle name="Followed Hyperlink" xfId="278" builtinId="9" hidden="1"/>
    <cellStyle name="Followed Hyperlink" xfId="264" builtinId="9" hidden="1"/>
    <cellStyle name="Followed Hyperlink" xfId="224" builtinId="9" hidden="1"/>
    <cellStyle name="Followed Hyperlink" xfId="208" builtinId="9" hidden="1"/>
    <cellStyle name="Followed Hyperlink" xfId="272" builtinId="9" hidden="1"/>
    <cellStyle name="Followed Hyperlink" xfId="232" builtinId="9" hidden="1"/>
    <cellStyle name="Followed Hyperlink" xfId="182" builtinId="9" hidden="1"/>
    <cellStyle name="Followed Hyperlink" xfId="126" builtinId="9" hidden="1"/>
    <cellStyle name="Followed Hyperlink" xfId="166" builtinId="9" hidden="1"/>
    <cellStyle name="Followed Hyperlink" xfId="206" builtinId="9" hidden="1"/>
    <cellStyle name="Followed Hyperlink" xfId="254" builtinId="9" hidden="1"/>
    <cellStyle name="Followed Hyperlink" xfId="86" builtinId="9" hidden="1"/>
    <cellStyle name="Followed Hyperlink" xfId="50" builtinId="9" hidden="1"/>
    <cellStyle name="Followed Hyperlink" xfId="20" builtinId="9" hidden="1"/>
    <cellStyle name="Followed Hyperlink" xfId="92" builtinId="9" hidden="1"/>
    <cellStyle name="Followed Hyperlink" xfId="88" builtinId="9" hidden="1"/>
    <cellStyle name="Followed Hyperlink" xfId="140" builtinId="9" hidden="1"/>
    <cellStyle name="Followed Hyperlink" xfId="168" builtinId="9" hidden="1"/>
    <cellStyle name="Followed Hyperlink" xfId="148" builtinId="9" hidden="1"/>
    <cellStyle name="Followed Hyperlink" xfId="128" builtinId="9" hidden="1"/>
    <cellStyle name="Followed Hyperlink" xfId="228" builtinId="9" hidden="1"/>
    <cellStyle name="Followed Hyperlink" xfId="260" builtinId="9" hidden="1"/>
    <cellStyle name="Followed Hyperlink" xfId="266" builtinId="9" hidden="1"/>
    <cellStyle name="Followed Hyperlink" xfId="202" builtinId="9" hidden="1"/>
    <cellStyle name="Followed Hyperlink" xfId="170" builtinId="9" hidden="1"/>
    <cellStyle name="Followed Hyperlink" xfId="138" builtinId="9" hidden="1"/>
    <cellStyle name="Followed Hyperlink" xfId="74" builtinId="9" hidden="1"/>
    <cellStyle name="Followed Hyperlink" xfId="36" builtinId="9" hidden="1"/>
    <cellStyle name="Followed Hyperlink" xfId="58" builtinId="9" hidden="1"/>
    <cellStyle name="Followed Hyperlink" xfId="8" builtinId="9" hidden="1"/>
    <cellStyle name="Followed Hyperlink" xfId="22" builtinId="9" hidden="1"/>
    <cellStyle name="Followed Hyperlink" xfId="106" builtinId="9" hidden="1"/>
    <cellStyle name="Followed Hyperlink" xfId="234" builtinId="9" hidden="1"/>
    <cellStyle name="Followed Hyperlink" xfId="196" builtinId="9" hidden="1"/>
    <cellStyle name="Followed Hyperlink" xfId="192" builtinId="9" hidden="1"/>
    <cellStyle name="Followed Hyperlink" xfId="68" builtinId="9" hidden="1"/>
    <cellStyle name="Followed Hyperlink" xfId="152" builtinId="9" hidden="1"/>
    <cellStyle name="Followed Hyperlink" xfId="176" builtinId="9" hidden="1"/>
    <cellStyle name="Followed Hyperlink" xfId="124" builtinId="9" hidden="1"/>
    <cellStyle name="Followed Hyperlink" xfId="96" builtinId="9" hidden="1"/>
    <cellStyle name="Followed Hyperlink" xfId="76" builtinId="9" hidden="1"/>
    <cellStyle name="Followed Hyperlink" xfId="188" builtinId="9" hidden="1"/>
    <cellStyle name="Followed Hyperlink" xfId="112" builtinId="9" hidden="1"/>
    <cellStyle name="Followed Hyperlink" xfId="132" builtinId="9" hidden="1"/>
    <cellStyle name="Followed Hyperlink" xfId="220" builtinId="9" hidden="1"/>
    <cellStyle name="Followed Hyperlink" xfId="252" builtinId="9" hidden="1"/>
    <cellStyle name="Hyperlink" xfId="277" builtinId="8" hidden="1"/>
    <cellStyle name="Hyperlink" xfId="275" builtinId="8" hidden="1"/>
    <cellStyle name="Hyperlink" xfId="219" builtinId="8" hidden="1"/>
    <cellStyle name="Hyperlink" xfId="73" builtinId="8" hidden="1"/>
    <cellStyle name="Hyperlink" xfId="61" builtinId="8" hidden="1"/>
    <cellStyle name="Hyperlink" xfId="93" builtinId="8" hidden="1"/>
    <cellStyle name="Hyperlink" xfId="9" builtinId="8" hidden="1"/>
    <cellStyle name="Hyperlink" xfId="17" builtinId="8" hidden="1"/>
    <cellStyle name="Hyperlink" xfId="33" builtinId="8" hidden="1"/>
    <cellStyle name="Hyperlink" xfId="75" builtinId="8" hidden="1"/>
    <cellStyle name="Hyperlink" xfId="111" builtinId="8" hidden="1"/>
    <cellStyle name="Hyperlink" xfId="83" builtinId="8" hidden="1"/>
    <cellStyle name="Hyperlink" xfId="99" builtinId="8" hidden="1"/>
    <cellStyle name="Hyperlink" xfId="201" builtinId="8" hidden="1"/>
    <cellStyle name="Hyperlink" xfId="159" builtinId="8" hidden="1"/>
    <cellStyle name="Hyperlink" xfId="145" builtinId="8" hidden="1"/>
    <cellStyle name="Hyperlink" xfId="223" builtinId="8" hidden="1"/>
    <cellStyle name="Hyperlink" xfId="231" builtinId="8" hidden="1"/>
    <cellStyle name="Hyperlink" xfId="233" builtinId="8" hidden="1"/>
    <cellStyle name="Hyperlink" xfId="245" builtinId="8" hidden="1"/>
    <cellStyle name="Hyperlink" xfId="253" builtinId="8" hidden="1"/>
    <cellStyle name="Hyperlink" xfId="255" builtinId="8" hidden="1"/>
    <cellStyle name="Hyperlink" xfId="257" builtinId="8" hidden="1"/>
    <cellStyle name="Hyperlink" xfId="269" builtinId="8" hidden="1"/>
    <cellStyle name="Hyperlink" xfId="261" builtinId="8" hidden="1"/>
    <cellStyle name="Hyperlink" xfId="239" builtinId="8" hidden="1"/>
    <cellStyle name="Hyperlink" xfId="149" builtinId="8" hidden="1"/>
    <cellStyle name="Hyperlink" xfId="151" builtinId="8" hidden="1"/>
    <cellStyle name="Hyperlink" xfId="157" builtinId="8" hidden="1"/>
    <cellStyle name="Hyperlink" xfId="167" builtinId="8" hidden="1"/>
    <cellStyle name="Hyperlink" xfId="173" builtinId="8" hidden="1"/>
    <cellStyle name="Hyperlink" xfId="175" builtinId="8" hidden="1"/>
    <cellStyle name="Hyperlink" xfId="183" builtinId="8" hidden="1"/>
    <cellStyle name="Hyperlink" xfId="153" builtinId="8" hidden="1"/>
    <cellStyle name="Hyperlink" xfId="133" builtinId="8" hidden="1"/>
    <cellStyle name="Hyperlink" xfId="143" builtinId="8" hidden="1"/>
    <cellStyle name="Hyperlink" xfId="125" builtinId="8" hidden="1"/>
    <cellStyle name="Hyperlink" xfId="127" builtinId="8" hidden="1"/>
    <cellStyle name="Hyperlink" xfId="137" builtinId="8" hidden="1"/>
    <cellStyle name="Hyperlink" xfId="165" builtinId="8" hidden="1"/>
    <cellStyle name="Hyperlink" xfId="271" builtinId="8" hidden="1"/>
    <cellStyle name="Hyperlink" xfId="53" builtinId="8" hidden="1"/>
    <cellStyle name="Hyperlink" xfId="139" builtinId="8" hidden="1"/>
    <cellStyle name="Hyperlink" xfId="235" builtinId="8" hidden="1"/>
    <cellStyle name="Hyperlink" xfId="185" builtinId="8" hidden="1"/>
    <cellStyle name="Hyperlink" xfId="191" builtinId="8" hidden="1"/>
    <cellStyle name="Hyperlink" xfId="193" builtinId="8" hidden="1"/>
    <cellStyle name="Hyperlink" xfId="205" builtinId="8" hidden="1"/>
    <cellStyle name="Hyperlink" xfId="207" builtinId="8" hidden="1"/>
    <cellStyle name="Hyperlink" xfId="209" builtinId="8" hidden="1"/>
    <cellStyle name="Hyperlink" xfId="221" builtinId="8" hidden="1"/>
    <cellStyle name="Hyperlink" xfId="171" builtinId="8" hidden="1"/>
    <cellStyle name="Hyperlink" xfId="59" builtinId="8" hidden="1"/>
    <cellStyle name="Hyperlink" xfId="109" builtinId="8" hidden="1"/>
    <cellStyle name="Hyperlink" xfId="89" builtinId="8" hidden="1"/>
    <cellStyle name="Hyperlink" xfId="81" builtinId="8" hidden="1"/>
    <cellStyle name="Hyperlink" xfId="13" builtinId="8" hidden="1"/>
    <cellStyle name="Hyperlink" xfId="47" builtinId="8" hidden="1"/>
    <cellStyle name="Hyperlink" xfId="39" builtinId="8" hidden="1"/>
    <cellStyle name="Hyperlink" xfId="1" builtinId="8" hidden="1"/>
    <cellStyle name="Hyperlink" xfId="3" builtinId="8" hidden="1"/>
    <cellStyle name="Hyperlink" xfId="71" builtinId="8" hidden="1"/>
    <cellStyle name="Hyperlink" xfId="117" builtinId="8" hidden="1"/>
    <cellStyle name="Hyperlink" xfId="215" builtinId="8" hidden="1"/>
    <cellStyle name="Hyperlink" xfId="199" builtinId="8" hidden="1"/>
    <cellStyle name="Hyperlink" xfId="267" builtinId="8" hidden="1"/>
    <cellStyle name="Hyperlink" xfId="241" builtinId="8" hidden="1"/>
    <cellStyle name="Hyperlink" xfId="129" builtinId="8" hidden="1"/>
    <cellStyle name="Hyperlink" xfId="141" builtinId="8" hidden="1"/>
    <cellStyle name="Hyperlink" xfId="177" builtinId="8" hidden="1"/>
    <cellStyle name="Hyperlink" xfId="161" builtinId="8" hidden="1"/>
    <cellStyle name="Hyperlink" xfId="217" builtinId="8" hidden="1"/>
    <cellStyle name="Hyperlink" xfId="265" builtinId="8" hidden="1"/>
    <cellStyle name="Hyperlink" xfId="247" builtinId="8" hidden="1"/>
    <cellStyle name="Hyperlink" xfId="229" builtinId="8" hidden="1"/>
    <cellStyle name="Hyperlink" xfId="249" builtinId="8" hidden="1"/>
    <cellStyle name="Hyperlink" xfId="97" builtinId="8" hidden="1"/>
    <cellStyle name="Hyperlink" xfId="45" builtinId="8" hidden="1"/>
    <cellStyle name="Hyperlink" xfId="123" builtinId="8" hidden="1"/>
    <cellStyle name="Hyperlink" xfId="179" builtinId="8" hidden="1"/>
    <cellStyle name="Hyperlink" xfId="91" builtinId="8" hidden="1"/>
    <cellStyle name="Hyperlink" xfId="23" builtinId="8" hidden="1"/>
    <cellStyle name="Hyperlink" xfId="25" builtinId="8" hidden="1"/>
    <cellStyle name="Hyperlink" xfId="29" builtinId="8" hidden="1"/>
    <cellStyle name="Hyperlink" xfId="41" builtinId="8" hidden="1"/>
    <cellStyle name="Hyperlink" xfId="43" builtinId="8" hidden="1"/>
    <cellStyle name="Hyperlink" xfId="49" builtinId="8" hidden="1"/>
    <cellStyle name="Hyperlink" xfId="27" builtinId="8" hidden="1"/>
    <cellStyle name="Hyperlink" xfId="11" builtinId="8" hidden="1"/>
    <cellStyle name="Hyperlink" xfId="19" builtinId="8" hidden="1"/>
    <cellStyle name="Hyperlink" xfId="5" builtinId="8" hidden="1"/>
    <cellStyle name="Hyperlink" xfId="15" builtinId="8" hidden="1"/>
    <cellStyle name="Hyperlink" xfId="35" builtinId="8" hidden="1"/>
    <cellStyle name="Hyperlink" xfId="115" builtinId="8" hidden="1"/>
    <cellStyle name="Hyperlink" xfId="163" builtinId="8" hidden="1"/>
    <cellStyle name="Hyperlink" xfId="155" builtinId="8" hidden="1"/>
    <cellStyle name="Hyperlink" xfId="131" builtinId="8" hidden="1"/>
    <cellStyle name="Hyperlink" xfId="51" builtinId="8" hidden="1"/>
    <cellStyle name="Hyperlink" xfId="57" builtinId="8" hidden="1"/>
    <cellStyle name="Hyperlink" xfId="65" builtinId="8" hidden="1"/>
    <cellStyle name="Hyperlink" xfId="67" builtinId="8" hidden="1"/>
    <cellStyle name="Hyperlink" xfId="69" builtinId="8" hidden="1"/>
    <cellStyle name="Hyperlink" xfId="77" builtinId="8" hidden="1"/>
    <cellStyle name="Hyperlink" xfId="147" builtinId="8" hidden="1"/>
    <cellStyle name="Hyperlink" xfId="227" builtinId="8" hidden="1"/>
    <cellStyle name="Hyperlink" xfId="195" builtinId="8" hidden="1"/>
    <cellStyle name="Hyperlink" xfId="187" builtinId="8" hidden="1"/>
    <cellStyle name="Hyperlink" xfId="259" builtinId="8" hidden="1"/>
    <cellStyle name="Hyperlink" xfId="251" builtinId="8" hidden="1"/>
    <cellStyle name="Hyperlink" xfId="243" builtinId="8" hidden="1"/>
    <cellStyle name="Hyperlink" xfId="211" builtinId="8" hidden="1"/>
    <cellStyle name="Hyperlink" xfId="55" builtinId="8" hidden="1"/>
    <cellStyle name="Hyperlink" xfId="7" builtinId="8" hidden="1"/>
    <cellStyle name="Hyperlink" xfId="37" builtinId="8" hidden="1"/>
    <cellStyle name="Hyperlink" xfId="189" builtinId="8" hidden="1"/>
    <cellStyle name="Hyperlink" xfId="203" builtinId="8" hidden="1"/>
    <cellStyle name="Hyperlink" xfId="31" builtinId="8" hidden="1"/>
    <cellStyle name="Hyperlink" xfId="21" builtinId="8" hidden="1"/>
    <cellStyle name="Hyperlink" xfId="79" builtinId="8" hidden="1"/>
    <cellStyle name="Hyperlink" xfId="85" builtinId="8" hidden="1"/>
    <cellStyle name="Hyperlink" xfId="87" builtinId="8" hidden="1"/>
    <cellStyle name="Hyperlink" xfId="95" builtinId="8" hidden="1"/>
    <cellStyle name="Hyperlink" xfId="101" builtinId="8" hidden="1"/>
    <cellStyle name="Hyperlink" xfId="103" builtinId="8" hidden="1"/>
    <cellStyle name="Hyperlink" xfId="105" builtinId="8" hidden="1"/>
    <cellStyle name="Hyperlink" xfId="113" builtinId="8" hidden="1"/>
    <cellStyle name="Hyperlink" xfId="107" builtinId="8" hidden="1"/>
    <cellStyle name="Hyperlink" xfId="63" builtinId="8" hidden="1"/>
    <cellStyle name="Hyperlink" xfId="197" builtinId="8" hidden="1"/>
    <cellStyle name="Hyperlink" xfId="273" builtinId="8" hidden="1"/>
    <cellStyle name="Hyperlink" xfId="263" builtinId="8" hidden="1"/>
    <cellStyle name="Hyperlink" xfId="237" builtinId="8" hidden="1"/>
    <cellStyle name="Hyperlink" xfId="225" builtinId="8" hidden="1"/>
    <cellStyle name="Hyperlink" xfId="213" builtinId="8" hidden="1"/>
    <cellStyle name="Hyperlink" xfId="135" builtinId="8" hidden="1"/>
    <cellStyle name="Hyperlink" xfId="181" builtinId="8" hidden="1"/>
    <cellStyle name="Hyperlink" xfId="169" builtinId="8" hidden="1"/>
    <cellStyle name="Hyperlink" xfId="121" builtinId="8" hidden="1"/>
    <cellStyle name="Hyperlink" xfId="119" builtinId="8" hidden="1"/>
    <cellStyle name="Hyperlink" xfId="279" builtinId="8"/>
    <cellStyle name="Normal" xfId="0" builtinId="0"/>
  </cellStyles>
  <dxfs count="306">
    <dxf>
      <fill>
        <patternFill>
          <bgColor rgb="FFF3F7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3F7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0" tint="-0.24994659260841701"/>
        </patternFill>
      </fill>
    </dxf>
    <dxf>
      <fill>
        <patternFill>
          <bgColor rgb="FF7F3FCC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rgb="FFF3F7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7F3FCC"/>
        </patternFill>
      </fill>
    </dxf>
    <dxf>
      <fill>
        <patternFill>
          <bgColor rgb="FF7F3FCC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0" tint="-0.24994659260841701"/>
        </patternFill>
      </fill>
    </dxf>
    <dxf>
      <fill>
        <patternFill>
          <bgColor rgb="FF7F3FCC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0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fgColor rgb="FF00B050"/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fgColor rgb="FF00B050"/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fgColor rgb="FF00B050"/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fgColor rgb="FF00B050"/>
          <bgColor rgb="FF00B050"/>
        </patternFill>
      </fill>
    </dxf>
  </dxfs>
  <tableStyles count="0" defaultTableStyle="TableStyleMedium9" defaultPivotStyle="PivotStyleMedium4"/>
  <colors>
    <mruColors>
      <color rgb="FFF3F7FF"/>
      <color rgb="FF7F3FCC"/>
      <color rgb="FFF9FDFA"/>
      <color rgb="FFE6FD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3.xml"/><Relationship Id="rId4" Type="http://schemas.openxmlformats.org/officeDocument/2006/relationships/styles" Target="styles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342900</xdr:colOff>
          <xdr:row>63</xdr:row>
          <xdr:rowOff>0</xdr:rowOff>
        </xdr:from>
        <xdr:to>
          <xdr:col>0</xdr:col>
          <xdr:colOff>1866900</xdr:colOff>
          <xdr:row>63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Check hazard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889000</xdr:colOff>
          <xdr:row>14</xdr:row>
          <xdr:rowOff>114300</xdr:rowOff>
        </xdr:from>
        <xdr:to>
          <xdr:col>9</xdr:col>
          <xdr:colOff>76200</xdr:colOff>
          <xdr:row>17</xdr:row>
          <xdr:rowOff>165100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Export sheet </a:t>
              </a:r>
            </a:p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to new file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D389101-1C74-484A-BD0B-81695F3698C7}" name="Table1" displayName="Table1" ref="A1:A5" totalsRowShown="0">
  <autoFilter ref="A1:A5" xr:uid="{8D389101-1C74-484A-BD0B-81695F3698C7}"/>
  <tableColumns count="1">
    <tableColumn id="1" xr3:uid="{DE2625FC-65D2-334A-9CAB-0CB12C5B210C}" name="Mutation entry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://toxnet.nlm.nih.gov/cgi-bin/sis/htmlgen?HSDB" TargetMode="External"/><Relationship Id="rId13" Type="http://schemas.openxmlformats.org/officeDocument/2006/relationships/hyperlink" Target="file:///var/folders/_k/bkfyrth50_s35ywj3s36hy700000gp/T/Templates/databases/grandjean.pdf" TargetMode="External"/><Relationship Id="rId18" Type="http://schemas.openxmlformats.org/officeDocument/2006/relationships/hyperlink" Target="http://echa.europa.eu/addressing-chemicals-of-concern/restrictions/list-of-restrictions" TargetMode="External"/><Relationship Id="rId26" Type="http://schemas.openxmlformats.org/officeDocument/2006/relationships/ctrlProp" Target="../ctrlProps/ctrlProp2.xml"/><Relationship Id="rId3" Type="http://schemas.openxmlformats.org/officeDocument/2006/relationships/hyperlink" Target="http://echa.europa.eu/web/guest/information-on-chemicals/registered-substances" TargetMode="External"/><Relationship Id="rId21" Type="http://schemas.openxmlformats.org/officeDocument/2006/relationships/hyperlink" Target="https://www.pharosproject.net/" TargetMode="External"/><Relationship Id="rId7" Type="http://schemas.openxmlformats.org/officeDocument/2006/relationships/hyperlink" Target="http://onlinelibrary.wiley.com/book/10.1002/9783527666034" TargetMode="External"/><Relationship Id="rId12" Type="http://schemas.openxmlformats.org/officeDocument/2006/relationships/hyperlink" Target="http://www.epa.gov/hpvis/" TargetMode="External"/><Relationship Id="rId17" Type="http://schemas.openxmlformats.org/officeDocument/2006/relationships/hyperlink" Target="http://webrigoletto.uba.de/rigoletto/public/searchRequest.do?event=request" TargetMode="External"/><Relationship Id="rId25" Type="http://schemas.openxmlformats.org/officeDocument/2006/relationships/ctrlProp" Target="../ctrlProps/ctrlProp1.xml"/><Relationship Id="rId2" Type="http://schemas.openxmlformats.org/officeDocument/2006/relationships/hyperlink" Target="http://cfpub.epa.gov/ecotox/" TargetMode="External"/><Relationship Id="rId16" Type="http://schemas.openxmlformats.org/officeDocument/2006/relationships/hyperlink" Target="http://www.epa.gov/ozone/geninfo/gwps.html" TargetMode="External"/><Relationship Id="rId20" Type="http://schemas.openxmlformats.org/officeDocument/2006/relationships/hyperlink" Target="http://chm.pops.int/Convention/ThePOPs/ListingofPOPs/tabid/2509/Default.aspx" TargetMode="External"/><Relationship Id="rId1" Type="http://schemas.openxmlformats.org/officeDocument/2006/relationships/hyperlink" Target="http://www.inchem.org/" TargetMode="External"/><Relationship Id="rId6" Type="http://schemas.openxmlformats.org/officeDocument/2006/relationships/hyperlink" Target="https://monographs.iarc.fr/list-of-classifications" TargetMode="External"/><Relationship Id="rId11" Type="http://schemas.openxmlformats.org/officeDocument/2006/relationships/hyperlink" Target="file:///var/folders/_k/bkfyrth50_s35ywj3s36hy700000gp/T/Templates/databases/EPA_mundy_list%20.xlsx" TargetMode="External"/><Relationship Id="rId24" Type="http://schemas.openxmlformats.org/officeDocument/2006/relationships/vmlDrawing" Target="../drawings/vmlDrawing1.vml"/><Relationship Id="rId5" Type="http://schemas.openxmlformats.org/officeDocument/2006/relationships/hyperlink" Target="http://echa.europa.eu/ja/regulations/clp/cl-inventory" TargetMode="External"/><Relationship Id="rId15" Type="http://schemas.openxmlformats.org/officeDocument/2006/relationships/hyperlink" Target="http://www.grida.no/publications/other/ipcc_tar/?src=/climate/ipcc_tar/wg1/248.htm" TargetMode="External"/><Relationship Id="rId23" Type="http://schemas.openxmlformats.org/officeDocument/2006/relationships/drawing" Target="../drawings/drawing1.xml"/><Relationship Id="rId10" Type="http://schemas.openxmlformats.org/officeDocument/2006/relationships/hyperlink" Target="http://oehha.ca.gov/prop65/prop65_list/newlist.html" TargetMode="External"/><Relationship Id="rId19" Type="http://schemas.openxmlformats.org/officeDocument/2006/relationships/hyperlink" Target="http://echa.europa.eu/nl/candidate-list-table" TargetMode="External"/><Relationship Id="rId4" Type="http://schemas.openxmlformats.org/officeDocument/2006/relationships/hyperlink" Target="https://www.echemportal.org/echemportal/substance-search" TargetMode="External"/><Relationship Id="rId9" Type="http://schemas.openxmlformats.org/officeDocument/2006/relationships/hyperlink" Target="http://www.ourstolenfuture.com/Basics/chemlist.htm" TargetMode="External"/><Relationship Id="rId14" Type="http://schemas.openxmlformats.org/officeDocument/2006/relationships/hyperlink" Target="http://www.epa.gov/ozone/science/ods/index.html" TargetMode="External"/><Relationship Id="rId22" Type="http://schemas.openxmlformats.org/officeDocument/2006/relationships/hyperlink" Target="https://echa.europa.eu/information-on-chemicals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E72AE-CBA2-B846-951A-8CFD1023732A}">
  <sheetPr codeName="Sheet2">
    <pageSetUpPr fitToPage="1"/>
  </sheetPr>
  <dimension ref="A1:J253"/>
  <sheetViews>
    <sheetView tabSelected="1" topLeftCell="A14" workbookViewId="0">
      <selection activeCell="F28" sqref="F28"/>
    </sheetView>
  </sheetViews>
  <sheetFormatPr baseColWidth="10" defaultColWidth="11" defaultRowHeight="16" x14ac:dyDescent="0.2"/>
  <cols>
    <col min="1" max="1" width="37.83203125" bestFit="1" customWidth="1"/>
    <col min="2" max="2" width="45.33203125" style="16" customWidth="1"/>
    <col min="3" max="3" width="23.6640625" customWidth="1"/>
    <col min="4" max="4" width="18.6640625" customWidth="1"/>
    <col min="5" max="5" width="14.1640625" customWidth="1"/>
    <col min="6" max="6" width="15.6640625" customWidth="1"/>
    <col min="7" max="7" width="19.1640625" customWidth="1"/>
    <col min="8" max="8" width="14.5" customWidth="1"/>
    <col min="9" max="9" width="17.83203125" customWidth="1"/>
    <col min="10" max="10" width="17" customWidth="1"/>
  </cols>
  <sheetData>
    <row r="1" spans="1:10" x14ac:dyDescent="0.2">
      <c r="A1" s="2" t="s">
        <v>0</v>
      </c>
      <c r="B1" s="15"/>
      <c r="C1" s="3"/>
      <c r="D1" s="3"/>
      <c r="F1" s="3"/>
      <c r="G1" s="3"/>
    </row>
    <row r="3" spans="1:10" x14ac:dyDescent="0.2">
      <c r="A3" s="7" t="s">
        <v>1</v>
      </c>
      <c r="B3" s="31"/>
      <c r="C3" s="7"/>
      <c r="D3" s="7"/>
      <c r="E3" s="7"/>
      <c r="F3" s="7"/>
      <c r="G3" s="7"/>
      <c r="H3" s="7"/>
      <c r="I3" s="7"/>
      <c r="J3" s="7"/>
    </row>
    <row r="4" spans="1:10" x14ac:dyDescent="0.2">
      <c r="A4" s="2"/>
    </row>
    <row r="5" spans="1:10" ht="35" customHeight="1" x14ac:dyDescent="0.2">
      <c r="A5" s="3" t="s">
        <v>171</v>
      </c>
      <c r="B5" s="103" t="s">
        <v>2</v>
      </c>
      <c r="C5" s="103" t="s">
        <v>3</v>
      </c>
      <c r="D5" s="3" t="s">
        <v>4</v>
      </c>
      <c r="E5" s="104" t="s">
        <v>173</v>
      </c>
      <c r="F5" s="104" t="s">
        <v>172</v>
      </c>
      <c r="G5" s="104" t="s">
        <v>174</v>
      </c>
      <c r="H5" s="3"/>
      <c r="I5" s="3" t="s">
        <v>5</v>
      </c>
      <c r="J5" s="104" t="s">
        <v>6</v>
      </c>
    </row>
    <row r="6" spans="1:10" ht="16" customHeight="1" x14ac:dyDescent="0.2">
      <c r="B6" s="78"/>
      <c r="C6" s="78"/>
      <c r="D6" s="78"/>
      <c r="F6" s="30"/>
      <c r="G6" s="3"/>
      <c r="H6" s="3"/>
      <c r="J6" s="3"/>
    </row>
    <row r="7" spans="1:10" ht="16" customHeight="1" x14ac:dyDescent="0.2">
      <c r="B7" s="78"/>
      <c r="C7" s="78"/>
      <c r="D7" s="78"/>
      <c r="F7" s="30"/>
      <c r="G7" s="3"/>
      <c r="H7" s="3"/>
      <c r="J7" s="3"/>
    </row>
    <row r="8" spans="1:10" ht="16" customHeight="1" x14ac:dyDescent="0.2">
      <c r="B8" s="78"/>
      <c r="C8" s="78"/>
      <c r="D8" s="78"/>
      <c r="F8" s="30"/>
      <c r="G8" s="3"/>
      <c r="H8" s="3"/>
      <c r="J8" s="3"/>
    </row>
    <row r="9" spans="1:10" ht="16" customHeight="1" x14ac:dyDescent="0.2">
      <c r="B9" s="78"/>
      <c r="C9" s="78"/>
      <c r="D9" s="78"/>
      <c r="F9" s="30"/>
      <c r="G9" s="3"/>
      <c r="H9" s="3"/>
      <c r="J9" s="3"/>
    </row>
    <row r="10" spans="1:10" ht="16" customHeight="1" x14ac:dyDescent="0.2">
      <c r="B10" s="78"/>
      <c r="C10" s="78"/>
      <c r="D10" s="78"/>
      <c r="F10" s="30"/>
      <c r="G10" s="3"/>
      <c r="H10" s="3"/>
      <c r="J10" s="3"/>
    </row>
    <row r="11" spans="1:10" ht="16" customHeight="1" x14ac:dyDescent="0.2">
      <c r="B11" s="78"/>
      <c r="C11" s="78"/>
      <c r="D11" s="78"/>
      <c r="F11" s="30"/>
      <c r="G11" s="3"/>
      <c r="H11" s="3"/>
      <c r="J11" s="3"/>
    </row>
    <row r="12" spans="1:10" ht="16" customHeight="1" x14ac:dyDescent="0.2">
      <c r="B12" s="78"/>
      <c r="C12" s="78"/>
      <c r="D12" s="78"/>
      <c r="F12" s="30"/>
      <c r="G12" s="3"/>
      <c r="H12" s="3"/>
      <c r="J12" s="3"/>
    </row>
    <row r="13" spans="1:10" x14ac:dyDescent="0.2">
      <c r="B13" s="78"/>
      <c r="C13" s="78"/>
      <c r="D13" s="78"/>
      <c r="F13" s="30"/>
      <c r="H13" s="1"/>
    </row>
    <row r="14" spans="1:10" x14ac:dyDescent="0.2">
      <c r="B14" s="57" t="s">
        <v>7</v>
      </c>
      <c r="C14" s="14"/>
      <c r="F14" s="30"/>
      <c r="H14" s="1"/>
    </row>
    <row r="15" spans="1:10" x14ac:dyDescent="0.2">
      <c r="C15" s="14"/>
      <c r="F15" s="30"/>
      <c r="H15" s="1"/>
    </row>
    <row r="16" spans="1:10" x14ac:dyDescent="0.2">
      <c r="C16" s="14"/>
      <c r="E16" s="16"/>
      <c r="F16" s="30"/>
      <c r="H16" s="1"/>
    </row>
    <row r="17" spans="1:9" x14ac:dyDescent="0.2">
      <c r="C17" s="14"/>
      <c r="D17" s="11"/>
      <c r="F17" s="30"/>
      <c r="H17" s="1"/>
    </row>
    <row r="18" spans="1:9" x14ac:dyDescent="0.2">
      <c r="E18" s="11"/>
      <c r="F18" s="30"/>
      <c r="H18" s="1"/>
      <c r="I18" s="1"/>
    </row>
    <row r="19" spans="1:9" x14ac:dyDescent="0.2">
      <c r="A19" s="21" t="s">
        <v>120</v>
      </c>
      <c r="B19" s="32"/>
      <c r="C19" s="23"/>
      <c r="D19" s="24"/>
    </row>
    <row r="20" spans="1:9" x14ac:dyDescent="0.2">
      <c r="A20" s="8" t="s">
        <v>176</v>
      </c>
      <c r="B20" s="57" t="s">
        <v>119</v>
      </c>
      <c r="C20" s="46"/>
      <c r="D20" s="9"/>
    </row>
    <row r="21" spans="1:9" x14ac:dyDescent="0.2">
      <c r="A21" s="26"/>
      <c r="B21" s="33"/>
      <c r="C21" s="29"/>
      <c r="D21" s="27"/>
    </row>
    <row r="22" spans="1:9" ht="16" customHeight="1" x14ac:dyDescent="0.2">
      <c r="A22" s="8" t="s">
        <v>121</v>
      </c>
      <c r="B22" s="57" t="s">
        <v>119</v>
      </c>
      <c r="C22" s="46"/>
      <c r="D22" s="9"/>
    </row>
    <row r="23" spans="1:9" x14ac:dyDescent="0.2">
      <c r="A23" s="26"/>
      <c r="B23" s="33"/>
      <c r="C23" s="29"/>
      <c r="D23" s="27"/>
    </row>
    <row r="24" spans="1:9" x14ac:dyDescent="0.2">
      <c r="A24" s="8" t="s">
        <v>122</v>
      </c>
      <c r="B24" s="57" t="s">
        <v>175</v>
      </c>
      <c r="C24" s="46"/>
      <c r="D24" s="9"/>
    </row>
    <row r="25" spans="1:9" x14ac:dyDescent="0.2">
      <c r="A25" s="26"/>
      <c r="B25" s="33"/>
      <c r="C25" s="29"/>
      <c r="D25" s="27"/>
    </row>
    <row r="26" spans="1:9" x14ac:dyDescent="0.2">
      <c r="A26" s="8" t="s">
        <v>123</v>
      </c>
      <c r="B26" s="57" t="s">
        <v>119</v>
      </c>
      <c r="C26" s="46"/>
      <c r="D26" s="9"/>
    </row>
    <row r="27" spans="1:9" x14ac:dyDescent="0.2">
      <c r="A27" s="26"/>
      <c r="B27" s="33"/>
      <c r="C27" s="29"/>
      <c r="D27" s="27"/>
    </row>
    <row r="28" spans="1:9" x14ac:dyDescent="0.2">
      <c r="A28" s="8" t="s">
        <v>124</v>
      </c>
      <c r="B28" s="57" t="s">
        <v>119</v>
      </c>
      <c r="C28" s="46"/>
      <c r="D28" s="9"/>
    </row>
    <row r="29" spans="1:9" x14ac:dyDescent="0.2">
      <c r="A29" s="26"/>
      <c r="B29" s="33"/>
      <c r="C29" s="29"/>
      <c r="D29" s="27"/>
    </row>
    <row r="30" spans="1:9" x14ac:dyDescent="0.2">
      <c r="A30" s="8" t="s">
        <v>196</v>
      </c>
      <c r="B30" s="57" t="s">
        <v>119</v>
      </c>
      <c r="C30" s="46"/>
      <c r="D30" s="9"/>
    </row>
    <row r="31" spans="1:9" x14ac:dyDescent="0.2">
      <c r="A31" s="26"/>
      <c r="B31" s="33"/>
      <c r="C31" s="29"/>
      <c r="D31" s="27"/>
    </row>
    <row r="32" spans="1:9" x14ac:dyDescent="0.2">
      <c r="A32" s="8" t="s">
        <v>195</v>
      </c>
      <c r="B32" s="57" t="s">
        <v>119</v>
      </c>
      <c r="C32" s="46"/>
      <c r="D32" s="9"/>
    </row>
    <row r="33" spans="1:10" x14ac:dyDescent="0.2">
      <c r="A33" s="26"/>
      <c r="B33" s="33"/>
      <c r="C33" s="29"/>
      <c r="D33" s="27"/>
    </row>
    <row r="34" spans="1:10" x14ac:dyDescent="0.2">
      <c r="C34" s="4"/>
      <c r="F34" s="30"/>
    </row>
    <row r="35" spans="1:10" x14ac:dyDescent="0.2">
      <c r="A35" s="21" t="s">
        <v>8</v>
      </c>
      <c r="B35" s="32"/>
      <c r="C35" s="23"/>
      <c r="D35" s="23"/>
      <c r="E35" s="23"/>
      <c r="F35" s="23"/>
      <c r="G35" s="24"/>
      <c r="H35" s="24"/>
      <c r="I35" s="48"/>
      <c r="J35" s="24"/>
    </row>
    <row r="37" spans="1:10" x14ac:dyDescent="0.2">
      <c r="A37" s="5" t="s">
        <v>9</v>
      </c>
      <c r="B37" s="97" t="s">
        <v>10</v>
      </c>
      <c r="C37" s="98"/>
      <c r="D37" s="98"/>
      <c r="E37" s="98"/>
      <c r="F37" s="98"/>
      <c r="G37" s="99"/>
      <c r="H37" s="6" t="s">
        <v>11</v>
      </c>
      <c r="I37" s="5" t="s">
        <v>12</v>
      </c>
      <c r="J37" s="5" t="s">
        <v>13</v>
      </c>
    </row>
    <row r="38" spans="1:10" x14ac:dyDescent="0.2">
      <c r="A38" s="35" t="s">
        <v>14</v>
      </c>
      <c r="B38" s="36"/>
      <c r="C38" s="37"/>
      <c r="D38" s="37"/>
      <c r="E38" s="37"/>
      <c r="F38" s="37"/>
      <c r="G38" s="38"/>
      <c r="H38" s="38"/>
      <c r="I38" s="39"/>
      <c r="J38" s="39"/>
    </row>
    <row r="39" spans="1:10" x14ac:dyDescent="0.2">
      <c r="A39" s="25" t="s">
        <v>15</v>
      </c>
      <c r="B39" s="57" t="s">
        <v>16</v>
      </c>
      <c r="C39" s="90"/>
      <c r="D39" s="91"/>
      <c r="E39" s="91"/>
      <c r="F39" s="92"/>
      <c r="H39" s="25"/>
      <c r="I39" s="100"/>
      <c r="J39" s="81"/>
    </row>
    <row r="40" spans="1:10" x14ac:dyDescent="0.2">
      <c r="A40" s="8"/>
      <c r="B40" s="57" t="s">
        <v>17</v>
      </c>
      <c r="C40" s="90"/>
      <c r="D40" s="91"/>
      <c r="E40" s="91"/>
      <c r="F40" s="92"/>
      <c r="H40" s="8"/>
      <c r="I40" s="82"/>
      <c r="J40" s="81"/>
    </row>
    <row r="41" spans="1:10" x14ac:dyDescent="0.2">
      <c r="A41" s="8"/>
      <c r="B41" s="57" t="s">
        <v>18</v>
      </c>
      <c r="C41" s="90"/>
      <c r="D41" s="91"/>
      <c r="E41" s="91"/>
      <c r="F41" s="92"/>
      <c r="H41" s="8"/>
      <c r="I41" s="82"/>
      <c r="J41" s="81"/>
    </row>
    <row r="42" spans="1:10" x14ac:dyDescent="0.2">
      <c r="A42" s="8"/>
      <c r="B42" s="57" t="s">
        <v>19</v>
      </c>
      <c r="C42" s="90"/>
      <c r="D42" s="91"/>
      <c r="E42" s="91"/>
      <c r="F42" s="92"/>
      <c r="H42" s="8"/>
      <c r="I42" s="82"/>
      <c r="J42" s="81"/>
    </row>
    <row r="43" spans="1:10" x14ac:dyDescent="0.2">
      <c r="A43" s="8"/>
      <c r="B43" s="57" t="s">
        <v>177</v>
      </c>
      <c r="C43" s="54"/>
      <c r="D43" s="57" t="s">
        <v>53</v>
      </c>
      <c r="E43" s="57"/>
      <c r="F43" s="57"/>
      <c r="H43" s="8"/>
      <c r="I43" s="76"/>
      <c r="J43" s="67"/>
    </row>
    <row r="44" spans="1:10" x14ac:dyDescent="0.2">
      <c r="A44" s="8"/>
      <c r="B44" s="57" t="s">
        <v>20</v>
      </c>
      <c r="C44" s="57"/>
      <c r="D44" s="57"/>
      <c r="E44" s="57"/>
      <c r="F44" s="57"/>
      <c r="H44" s="8"/>
      <c r="I44" s="76"/>
      <c r="J44" s="67"/>
    </row>
    <row r="45" spans="1:10" x14ac:dyDescent="0.2">
      <c r="A45" s="8"/>
      <c r="B45" s="57"/>
      <c r="C45" s="57"/>
      <c r="D45" s="57"/>
      <c r="E45" s="57"/>
      <c r="F45" s="57"/>
      <c r="H45" s="8"/>
      <c r="I45" s="76"/>
      <c r="J45" s="67"/>
    </row>
    <row r="46" spans="1:10" ht="8" customHeight="1" x14ac:dyDescent="0.2">
      <c r="A46" s="40"/>
      <c r="B46" s="41"/>
      <c r="C46" s="41"/>
      <c r="D46" s="41"/>
      <c r="E46" s="41"/>
      <c r="F46" s="41"/>
      <c r="G46" s="42"/>
      <c r="H46" s="40"/>
      <c r="I46" s="49"/>
      <c r="J46" s="52"/>
    </row>
    <row r="47" spans="1:10" x14ac:dyDescent="0.2">
      <c r="A47" s="8" t="s">
        <v>21</v>
      </c>
      <c r="B47" s="57" t="s">
        <v>22</v>
      </c>
      <c r="C47" s="90"/>
      <c r="D47" s="91"/>
      <c r="E47" s="91"/>
      <c r="F47" s="92"/>
      <c r="H47" s="8"/>
      <c r="I47" s="95"/>
      <c r="J47" s="81"/>
    </row>
    <row r="48" spans="1:10" x14ac:dyDescent="0.2">
      <c r="A48" s="8"/>
      <c r="B48" s="57" t="s">
        <v>23</v>
      </c>
      <c r="C48" s="90"/>
      <c r="D48" s="91"/>
      <c r="E48" s="91"/>
      <c r="F48" s="92"/>
      <c r="H48" s="8"/>
      <c r="I48" s="95"/>
      <c r="J48" s="81"/>
    </row>
    <row r="49" spans="1:10" x14ac:dyDescent="0.2">
      <c r="A49" s="8"/>
      <c r="B49" s="57" t="s">
        <v>24</v>
      </c>
      <c r="H49" s="8"/>
      <c r="I49" s="95"/>
      <c r="J49" s="81"/>
    </row>
    <row r="50" spans="1:10" x14ac:dyDescent="0.2">
      <c r="A50" s="8"/>
      <c r="H50" s="8"/>
      <c r="I50" s="82"/>
      <c r="J50" s="81"/>
    </row>
    <row r="51" spans="1:10" ht="8" customHeight="1" x14ac:dyDescent="0.2">
      <c r="A51" s="43"/>
      <c r="B51" s="44"/>
      <c r="C51" s="41"/>
      <c r="D51" s="41"/>
      <c r="E51" s="41"/>
      <c r="F51" s="41"/>
      <c r="G51" s="42"/>
      <c r="H51" s="42"/>
      <c r="I51" s="50"/>
      <c r="J51" s="53"/>
    </row>
    <row r="52" spans="1:10" ht="16" customHeight="1" x14ac:dyDescent="0.2">
      <c r="A52" s="9" t="s">
        <v>25</v>
      </c>
      <c r="B52" s="57" t="s">
        <v>26</v>
      </c>
      <c r="C52" s="90"/>
      <c r="D52" s="91"/>
      <c r="E52" s="91"/>
      <c r="F52" s="92"/>
      <c r="H52" s="8"/>
      <c r="I52" s="96"/>
      <c r="J52" s="81"/>
    </row>
    <row r="53" spans="1:10" ht="16" customHeight="1" thickBot="1" x14ac:dyDescent="0.25">
      <c r="B53" s="57" t="s">
        <v>27</v>
      </c>
      <c r="C53" s="90"/>
      <c r="D53" s="91"/>
      <c r="E53" s="91"/>
      <c r="F53" s="92"/>
      <c r="H53" s="8"/>
      <c r="I53" s="96"/>
      <c r="J53" s="81"/>
    </row>
    <row r="54" spans="1:10" ht="17" thickBot="1" x14ac:dyDescent="0.25">
      <c r="A54" s="63" t="s">
        <v>28</v>
      </c>
      <c r="B54" s="57" t="s">
        <v>29</v>
      </c>
      <c r="C54" s="68"/>
      <c r="D54" s="72"/>
      <c r="E54" s="69"/>
      <c r="F54" s="46"/>
      <c r="H54" s="8"/>
      <c r="I54" s="95"/>
      <c r="J54" s="81"/>
    </row>
    <row r="55" spans="1:10" x14ac:dyDescent="0.2">
      <c r="A55" s="77"/>
      <c r="B55" s="57" t="s">
        <v>29</v>
      </c>
      <c r="C55" s="68"/>
      <c r="D55" s="72"/>
      <c r="E55" s="69"/>
      <c r="F55" s="46"/>
      <c r="H55" s="8"/>
      <c r="I55" s="95"/>
      <c r="J55" s="81"/>
    </row>
    <row r="56" spans="1:10" x14ac:dyDescent="0.2">
      <c r="A56" s="77"/>
      <c r="B56" s="57" t="s">
        <v>29</v>
      </c>
      <c r="C56" s="68"/>
      <c r="D56" s="72"/>
      <c r="E56" s="69"/>
      <c r="F56" s="46"/>
      <c r="H56" s="8"/>
      <c r="I56" s="95"/>
      <c r="J56" s="81"/>
    </row>
    <row r="57" spans="1:10" x14ac:dyDescent="0.2">
      <c r="A57" s="77"/>
      <c r="B57" s="57" t="s">
        <v>29</v>
      </c>
      <c r="C57" s="68"/>
      <c r="D57" s="72"/>
      <c r="E57" s="69"/>
      <c r="F57" s="46"/>
      <c r="H57" s="8"/>
      <c r="I57" s="95"/>
      <c r="J57" s="81"/>
    </row>
    <row r="58" spans="1:10" x14ac:dyDescent="0.2">
      <c r="A58" s="77"/>
      <c r="B58" s="57" t="s">
        <v>29</v>
      </c>
      <c r="C58" s="68"/>
      <c r="D58" s="72"/>
      <c r="E58" s="69"/>
      <c r="F58" s="46"/>
      <c r="H58" s="8"/>
      <c r="I58" s="95"/>
      <c r="J58" s="81"/>
    </row>
    <row r="59" spans="1:10" x14ac:dyDescent="0.2">
      <c r="A59" s="8"/>
      <c r="B59" s="57" t="s">
        <v>30</v>
      </c>
      <c r="C59" s="68"/>
      <c r="D59" s="72"/>
      <c r="E59" s="69"/>
      <c r="F59" s="46"/>
      <c r="H59" s="8"/>
      <c r="I59" s="95"/>
      <c r="J59" s="81"/>
    </row>
    <row r="60" spans="1:10" x14ac:dyDescent="0.2">
      <c r="A60" s="9"/>
      <c r="B60" s="57" t="s">
        <v>30</v>
      </c>
      <c r="C60" s="68"/>
      <c r="D60" s="72"/>
      <c r="E60" s="69"/>
      <c r="F60" s="46"/>
      <c r="H60" s="8"/>
      <c r="I60" s="95"/>
      <c r="J60" s="81"/>
    </row>
    <row r="61" spans="1:10" x14ac:dyDescent="0.2">
      <c r="A61" s="9"/>
      <c r="B61" s="57" t="s">
        <v>30</v>
      </c>
      <c r="C61" s="68"/>
      <c r="D61" s="72"/>
      <c r="E61" s="69"/>
      <c r="F61" s="46"/>
      <c r="H61" s="8"/>
      <c r="I61" s="95"/>
      <c r="J61" s="81"/>
    </row>
    <row r="62" spans="1:10" x14ac:dyDescent="0.2">
      <c r="A62" s="9"/>
      <c r="B62" s="57" t="s">
        <v>30</v>
      </c>
      <c r="C62" s="68"/>
      <c r="D62" s="72"/>
      <c r="E62" s="69"/>
      <c r="F62" s="46"/>
      <c r="H62" s="8"/>
      <c r="I62" s="95"/>
      <c r="J62" s="81"/>
    </row>
    <row r="63" spans="1:10" x14ac:dyDescent="0.2">
      <c r="A63" s="9"/>
      <c r="B63" s="57" t="s">
        <v>30</v>
      </c>
      <c r="C63" s="68"/>
      <c r="D63" s="72"/>
      <c r="E63" s="69"/>
      <c r="F63" s="46"/>
      <c r="H63" s="8"/>
      <c r="I63" s="95"/>
      <c r="J63" s="81"/>
    </row>
    <row r="64" spans="1:10" x14ac:dyDescent="0.2">
      <c r="A64" s="9"/>
      <c r="B64" s="57" t="s">
        <v>31</v>
      </c>
      <c r="H64" s="8"/>
      <c r="I64" s="95"/>
      <c r="J64" s="81"/>
    </row>
    <row r="65" spans="1:10" x14ac:dyDescent="0.2">
      <c r="A65" s="9"/>
      <c r="B65" s="57"/>
      <c r="H65" s="8"/>
      <c r="I65" s="79"/>
      <c r="J65" s="71"/>
    </row>
    <row r="66" spans="1:10" ht="8" customHeight="1" x14ac:dyDescent="0.2">
      <c r="A66" s="40"/>
      <c r="B66" s="75"/>
      <c r="C66" s="41"/>
      <c r="D66" s="41"/>
      <c r="E66" s="41"/>
      <c r="F66" s="41"/>
      <c r="G66" s="42"/>
      <c r="H66" s="40"/>
      <c r="I66" s="50"/>
      <c r="J66" s="51"/>
    </row>
    <row r="67" spans="1:10" ht="16" customHeight="1" x14ac:dyDescent="0.2">
      <c r="A67" s="8" t="s">
        <v>32</v>
      </c>
      <c r="B67" s="57" t="s">
        <v>33</v>
      </c>
      <c r="C67" s="68"/>
      <c r="D67" s="72"/>
      <c r="E67" s="72"/>
      <c r="F67" s="69"/>
      <c r="H67" s="8"/>
      <c r="I67" s="80"/>
      <c r="J67" s="81"/>
    </row>
    <row r="68" spans="1:10" ht="16" customHeight="1" x14ac:dyDescent="0.2">
      <c r="A68" s="8"/>
      <c r="B68" s="57" t="s">
        <v>34</v>
      </c>
      <c r="C68" s="68"/>
      <c r="D68" s="72"/>
      <c r="E68" s="72"/>
      <c r="F68" s="69"/>
      <c r="H68" s="8"/>
      <c r="I68" s="80"/>
      <c r="J68" s="81"/>
    </row>
    <row r="69" spans="1:10" x14ac:dyDescent="0.2">
      <c r="A69" s="8"/>
      <c r="B69" s="73" t="s">
        <v>35</v>
      </c>
      <c r="C69" s="54"/>
      <c r="D69" t="str">
        <f>IF(B69="Oral NOAEL =","mg/kg bw/day",IF(B69="Inhalation NOAEL =","mg/l 6-8 h/day"," "))</f>
        <v>mg/kg bw/day</v>
      </c>
      <c r="H69" s="8"/>
      <c r="I69" s="80"/>
      <c r="J69" s="81"/>
    </row>
    <row r="70" spans="1:10" x14ac:dyDescent="0.2">
      <c r="A70" s="8"/>
      <c r="B70" s="57" t="s">
        <v>36</v>
      </c>
      <c r="D70" t="str">
        <f>IF(B70="Oral NOAEL =","mg/kg bw/day",IF(B70="Inhalation NOAEL =","mg/l 6-8 h/day"," "))</f>
        <v>mg/l 6-8 h/day</v>
      </c>
      <c r="H70" s="8"/>
      <c r="I70" s="80"/>
      <c r="J70" s="81"/>
    </row>
    <row r="71" spans="1:10" x14ac:dyDescent="0.2">
      <c r="A71" s="28"/>
      <c r="B71" s="57" t="s">
        <v>37</v>
      </c>
      <c r="H71" s="8"/>
      <c r="I71" s="70"/>
      <c r="J71" s="71"/>
    </row>
    <row r="72" spans="1:10" x14ac:dyDescent="0.2">
      <c r="A72" s="28"/>
      <c r="B72" s="57"/>
      <c r="H72" s="8"/>
      <c r="I72" s="70"/>
      <c r="J72" s="71"/>
    </row>
    <row r="73" spans="1:10" ht="8" customHeight="1" x14ac:dyDescent="0.2">
      <c r="A73" s="43"/>
      <c r="B73" s="75"/>
      <c r="C73" s="41"/>
      <c r="D73" s="41"/>
      <c r="E73" s="41"/>
      <c r="F73" s="41"/>
      <c r="G73" s="42"/>
      <c r="H73" s="40"/>
      <c r="I73" s="47"/>
      <c r="J73" s="45"/>
    </row>
    <row r="74" spans="1:10" x14ac:dyDescent="0.2">
      <c r="A74" s="9" t="s">
        <v>38</v>
      </c>
      <c r="B74" s="57" t="s">
        <v>39</v>
      </c>
      <c r="C74" s="68"/>
      <c r="D74" s="72"/>
      <c r="E74" s="72"/>
      <c r="F74" s="69"/>
      <c r="H74" s="8"/>
      <c r="I74" s="80"/>
      <c r="J74" s="81"/>
    </row>
    <row r="75" spans="1:10" x14ac:dyDescent="0.2">
      <c r="A75" s="9"/>
      <c r="B75" s="57" t="s">
        <v>40</v>
      </c>
      <c r="C75" s="68"/>
      <c r="D75" s="72"/>
      <c r="E75" s="72"/>
      <c r="F75" s="69"/>
      <c r="H75" s="8"/>
      <c r="I75" s="80"/>
      <c r="J75" s="81"/>
    </row>
    <row r="76" spans="1:10" x14ac:dyDescent="0.2">
      <c r="A76" s="9"/>
      <c r="B76" s="57" t="s">
        <v>35</v>
      </c>
      <c r="C76" s="54"/>
      <c r="D76" t="str">
        <f>IF(B76="Oral NOAEL =","mg/kg bw/day",IF(B76="Inhalation NOAEL =","mg/l 6-8 h/day"," "))</f>
        <v>mg/kg bw/day</v>
      </c>
      <c r="H76" s="8"/>
      <c r="I76" s="80"/>
      <c r="J76" s="81"/>
    </row>
    <row r="77" spans="1:10" x14ac:dyDescent="0.2">
      <c r="A77" s="9"/>
      <c r="B77" s="57" t="s">
        <v>36</v>
      </c>
      <c r="C77" s="54"/>
      <c r="D77" t="str">
        <f>IF(B77="Oral NOAEL =","mg/kg bw/day",IF(B77="Inhalation NOAEL =","mg/l 6-8 h/day"," "))</f>
        <v>mg/l 6-8 h/day</v>
      </c>
      <c r="H77" s="8"/>
      <c r="I77" s="80"/>
      <c r="J77" s="81"/>
    </row>
    <row r="78" spans="1:10" x14ac:dyDescent="0.2">
      <c r="B78" s="57" t="s">
        <v>41</v>
      </c>
      <c r="H78" s="8"/>
      <c r="I78" s="70"/>
      <c r="J78" s="71"/>
    </row>
    <row r="79" spans="1:10" x14ac:dyDescent="0.2">
      <c r="B79" s="57"/>
      <c r="H79" s="8"/>
      <c r="I79" s="70"/>
      <c r="J79" s="71"/>
    </row>
    <row r="80" spans="1:10" ht="8" customHeight="1" x14ac:dyDescent="0.2">
      <c r="A80" s="43"/>
      <c r="B80" s="44"/>
      <c r="C80" s="41"/>
      <c r="D80" s="41"/>
      <c r="E80" s="41"/>
      <c r="F80" s="41"/>
      <c r="G80" s="42"/>
      <c r="H80" s="40"/>
      <c r="I80" s="47"/>
      <c r="J80" s="51"/>
    </row>
    <row r="81" spans="1:10" x14ac:dyDescent="0.2">
      <c r="A81" s="9" t="s">
        <v>42</v>
      </c>
      <c r="B81" s="57" t="s">
        <v>43</v>
      </c>
      <c r="C81" s="90"/>
      <c r="D81" s="91"/>
      <c r="E81" s="91"/>
      <c r="F81" s="92"/>
      <c r="G81" s="9"/>
      <c r="H81" s="8"/>
      <c r="I81" s="94"/>
      <c r="J81" s="81"/>
    </row>
    <row r="82" spans="1:10" x14ac:dyDescent="0.2">
      <c r="A82" s="9"/>
      <c r="B82" s="57" t="s">
        <v>44</v>
      </c>
      <c r="C82" s="90"/>
      <c r="D82" s="91"/>
      <c r="E82" s="91"/>
      <c r="F82" s="92"/>
      <c r="G82" s="9"/>
      <c r="H82" s="8"/>
      <c r="I82" s="94"/>
      <c r="J82" s="81"/>
    </row>
    <row r="83" spans="1:10" x14ac:dyDescent="0.2">
      <c r="A83" s="9"/>
      <c r="B83" s="57" t="s">
        <v>45</v>
      </c>
      <c r="C83" s="73"/>
      <c r="G83" s="9"/>
      <c r="H83" s="8"/>
      <c r="I83" s="94"/>
      <c r="J83" s="81"/>
    </row>
    <row r="84" spans="1:10" x14ac:dyDescent="0.2">
      <c r="A84" s="9"/>
      <c r="B84" s="57" t="s">
        <v>46</v>
      </c>
      <c r="C84" s="55"/>
      <c r="E84" s="57"/>
      <c r="F84" s="57"/>
      <c r="G84" s="9"/>
      <c r="H84" s="8"/>
      <c r="I84" s="94"/>
      <c r="J84" s="81"/>
    </row>
    <row r="85" spans="1:10" x14ac:dyDescent="0.2">
      <c r="A85" s="9"/>
      <c r="B85" s="57" t="s">
        <v>47</v>
      </c>
      <c r="C85" s="55"/>
      <c r="E85" s="57"/>
      <c r="F85" s="57"/>
      <c r="G85" s="9"/>
      <c r="H85" s="8"/>
      <c r="I85" s="94"/>
      <c r="J85" s="81"/>
    </row>
    <row r="86" spans="1:10" x14ac:dyDescent="0.2">
      <c r="A86" s="9"/>
      <c r="B86" s="57" t="s">
        <v>48</v>
      </c>
      <c r="E86" s="57"/>
      <c r="F86" s="57"/>
      <c r="G86" s="9"/>
      <c r="H86" s="8"/>
      <c r="I86" s="94"/>
      <c r="J86" s="81"/>
    </row>
    <row r="87" spans="1:10" x14ac:dyDescent="0.2">
      <c r="A87" s="9"/>
      <c r="B87"/>
      <c r="G87" s="9"/>
      <c r="H87" s="8"/>
      <c r="I87" s="94"/>
      <c r="J87" s="81"/>
    </row>
    <row r="88" spans="1:10" ht="8" customHeight="1" x14ac:dyDescent="0.2">
      <c r="A88" s="40"/>
      <c r="B88" s="44"/>
      <c r="C88" s="41"/>
      <c r="D88" s="41"/>
      <c r="E88" s="41"/>
      <c r="F88" s="41"/>
      <c r="G88" s="42"/>
      <c r="H88" s="40"/>
      <c r="I88" s="47"/>
      <c r="J88" s="51"/>
    </row>
    <row r="89" spans="1:10" x14ac:dyDescent="0.2">
      <c r="A89" s="9" t="s">
        <v>49</v>
      </c>
      <c r="B89" s="57" t="s">
        <v>50</v>
      </c>
      <c r="C89" s="90"/>
      <c r="D89" s="91"/>
      <c r="E89" s="91"/>
      <c r="F89" s="92"/>
      <c r="G89" s="9"/>
      <c r="H89" s="8"/>
      <c r="I89" s="80"/>
      <c r="J89" s="81"/>
    </row>
    <row r="90" spans="1:10" x14ac:dyDescent="0.2">
      <c r="A90" s="9"/>
      <c r="B90" s="57" t="s">
        <v>178</v>
      </c>
      <c r="C90" s="90"/>
      <c r="D90" s="91"/>
      <c r="E90" s="91"/>
      <c r="F90" s="92"/>
      <c r="G90" s="9"/>
      <c r="H90" s="8"/>
      <c r="I90" s="80"/>
      <c r="J90" s="81"/>
    </row>
    <row r="91" spans="1:10" x14ac:dyDescent="0.2">
      <c r="A91" s="9"/>
      <c r="B91" s="57" t="s">
        <v>51</v>
      </c>
      <c r="C91" s="90"/>
      <c r="D91" s="91"/>
      <c r="E91" s="91"/>
      <c r="F91" s="92"/>
      <c r="G91" s="9"/>
      <c r="H91" s="8"/>
      <c r="I91" s="80"/>
      <c r="J91" s="81"/>
    </row>
    <row r="92" spans="1:10" x14ac:dyDescent="0.2">
      <c r="B92" s="74" t="s">
        <v>52</v>
      </c>
      <c r="C92" s="55"/>
      <c r="D92" t="s">
        <v>53</v>
      </c>
      <c r="E92" s="30"/>
      <c r="G92" s="9"/>
      <c r="H92" s="8"/>
      <c r="I92" s="80"/>
      <c r="J92" s="81"/>
    </row>
    <row r="93" spans="1:10" x14ac:dyDescent="0.2">
      <c r="B93" s="74" t="s">
        <v>54</v>
      </c>
      <c r="C93" s="55"/>
      <c r="D93" t="s">
        <v>55</v>
      </c>
      <c r="G93" s="9"/>
      <c r="H93" s="8"/>
      <c r="I93" s="80"/>
      <c r="J93" s="81"/>
    </row>
    <row r="94" spans="1:10" x14ac:dyDescent="0.2">
      <c r="A94" s="9"/>
      <c r="B94" s="57" t="s">
        <v>56</v>
      </c>
      <c r="G94" s="9"/>
      <c r="H94" s="8"/>
      <c r="I94" s="80"/>
      <c r="J94" s="81"/>
    </row>
    <row r="95" spans="1:10" x14ac:dyDescent="0.2">
      <c r="A95" s="9"/>
      <c r="G95" s="9"/>
      <c r="H95" s="8"/>
      <c r="I95" s="70"/>
      <c r="J95" s="71"/>
    </row>
    <row r="96" spans="1:10" ht="8" customHeight="1" x14ac:dyDescent="0.2">
      <c r="A96" s="40"/>
      <c r="B96" s="44"/>
      <c r="C96" s="41"/>
      <c r="D96" s="41"/>
      <c r="E96" s="41"/>
      <c r="F96" s="41"/>
      <c r="G96" s="42"/>
      <c r="H96" s="40"/>
      <c r="I96" s="47"/>
      <c r="J96" s="51"/>
    </row>
    <row r="97" spans="1:10" x14ac:dyDescent="0.2">
      <c r="A97" s="9" t="s">
        <v>57</v>
      </c>
      <c r="B97" s="57" t="s">
        <v>58</v>
      </c>
      <c r="C97" s="90"/>
      <c r="D97" s="91"/>
      <c r="E97" s="91"/>
      <c r="F97" s="92"/>
      <c r="G97" s="9"/>
      <c r="H97" s="8"/>
      <c r="I97" s="81"/>
      <c r="J97" s="81"/>
    </row>
    <row r="98" spans="1:10" x14ac:dyDescent="0.2">
      <c r="A98" s="9"/>
      <c r="B98" s="57" t="s">
        <v>59</v>
      </c>
      <c r="C98" s="90"/>
      <c r="D98" s="91"/>
      <c r="E98" s="91"/>
      <c r="F98" s="92"/>
      <c r="G98" s="9"/>
      <c r="H98" s="8"/>
      <c r="I98" s="81"/>
      <c r="J98" s="81"/>
    </row>
    <row r="99" spans="1:10" x14ac:dyDescent="0.2">
      <c r="A99" s="9"/>
      <c r="B99" s="73" t="s">
        <v>60</v>
      </c>
      <c r="C99" s="55"/>
      <c r="D99" t="str">
        <f>IF(B99="Acute: LC50 (dust/mist/aerosol) =","mg/l/4h",IF(B99="Acute: LC50 (vapor) =","mg/l/4h",IF(B99="Acute: LC50 (gas) =","ppmV")))</f>
        <v>ppmV</v>
      </c>
      <c r="G99" s="9"/>
      <c r="H99" s="8"/>
      <c r="I99" s="81"/>
      <c r="J99" s="81"/>
    </row>
    <row r="100" spans="1:10" x14ac:dyDescent="0.2">
      <c r="A100" s="9"/>
      <c r="B100" s="73" t="s">
        <v>61</v>
      </c>
      <c r="C100" s="55"/>
      <c r="D100" t="str">
        <f>IF(B100="Acute: LC50 (dust/mist/aerosol) =","mg/l/4h",IF(B100="Acute: LC50 (vapor) =","mg/l/4h",IF(B100="Acute: LC50 (gas) =","ppmV")))</f>
        <v>mg/l/4h</v>
      </c>
      <c r="G100" s="9"/>
      <c r="H100" s="8"/>
      <c r="I100" s="81"/>
      <c r="J100" s="81"/>
    </row>
    <row r="101" spans="1:10" x14ac:dyDescent="0.2">
      <c r="A101" s="9"/>
      <c r="B101" s="73" t="s">
        <v>62</v>
      </c>
      <c r="C101" s="55"/>
      <c r="D101" t="str">
        <f>IF(B101="Acute: LC50 (dust/mist/aerosol) =","mg/l/4h",IF(B101="Acute: LC50 (vapor) =","mg/l/4h",IF(B101="Acute: LC50 (gas) =","ppmV")))</f>
        <v>mg/l/4h</v>
      </c>
      <c r="G101" s="9"/>
      <c r="H101" s="8"/>
      <c r="I101" s="81"/>
      <c r="J101" s="81"/>
    </row>
    <row r="102" spans="1:10" x14ac:dyDescent="0.2">
      <c r="A102" s="9"/>
      <c r="B102" s="73" t="s">
        <v>63</v>
      </c>
      <c r="C102" s="55"/>
      <c r="D102" t="str">
        <f>IF(B102="Chronic: LOAEL (dust/mist/aerosol) =","mg/l/6h/d",IF(B102="Chronic: LOAEL (vapor) =","mg/l/6h/d",IF(B102="Chronic: LOAEL (gas) =","ppmV/6h/d")))</f>
        <v>ppmV/6h/d</v>
      </c>
      <c r="G102" s="9"/>
      <c r="H102" s="8"/>
      <c r="I102" s="81"/>
      <c r="J102" s="81"/>
    </row>
    <row r="103" spans="1:10" x14ac:dyDescent="0.2">
      <c r="A103" s="9"/>
      <c r="B103" s="73" t="s">
        <v>64</v>
      </c>
      <c r="C103" s="55"/>
      <c r="D103" t="str">
        <f>IF(B103="Chronic: LOAEL (dust/mist/aerosol) =","mg/l/6h/d",IF(B103="Chronic: LOAEL (vapor) =","mg/l/6h/d",IF(B103="Chronic: LOAEL (gas) =","ppmV/6h/d")))</f>
        <v>mg/l/6h/d</v>
      </c>
      <c r="G103" s="9"/>
      <c r="H103" s="8"/>
      <c r="I103" s="81"/>
      <c r="J103" s="81"/>
    </row>
    <row r="104" spans="1:10" x14ac:dyDescent="0.2">
      <c r="A104" s="9"/>
      <c r="B104" s="73" t="s">
        <v>65</v>
      </c>
      <c r="C104" s="55"/>
      <c r="D104" t="str">
        <f>IF(B104="Chronic: LOAEL (dust/mist/aerosol) =","mg/l/6h/d",IF(B104="Chronic: LOAEL (vapor) =","mg/l/6h/d",IF(B104="Chronic: LOAEL (gas) =","ppmV/6h/d")))</f>
        <v>mg/l/6h/d</v>
      </c>
      <c r="G104" s="9"/>
      <c r="H104" s="8"/>
      <c r="I104" s="81"/>
      <c r="J104" s="81"/>
    </row>
    <row r="105" spans="1:10" x14ac:dyDescent="0.2">
      <c r="A105" s="9"/>
      <c r="B105" s="57" t="s">
        <v>66</v>
      </c>
      <c r="C105" s="114"/>
      <c r="D105" t="s">
        <v>182</v>
      </c>
      <c r="G105" s="9"/>
      <c r="H105" s="8"/>
      <c r="I105" s="81"/>
      <c r="J105" s="81"/>
    </row>
    <row r="106" spans="1:10" x14ac:dyDescent="0.2">
      <c r="A106" s="9"/>
      <c r="B106" s="57" t="s">
        <v>67</v>
      </c>
      <c r="G106" s="9"/>
      <c r="H106" s="8"/>
      <c r="I106" s="71"/>
      <c r="J106" s="71"/>
    </row>
    <row r="107" spans="1:10" x14ac:dyDescent="0.2">
      <c r="A107" s="9"/>
      <c r="G107" s="9"/>
      <c r="H107" s="8"/>
      <c r="I107" s="71"/>
      <c r="J107" s="71"/>
    </row>
    <row r="108" spans="1:10" ht="8" customHeight="1" x14ac:dyDescent="0.2">
      <c r="A108" s="40"/>
      <c r="B108" s="44"/>
      <c r="C108" s="41"/>
      <c r="D108" s="41"/>
      <c r="E108" s="41"/>
      <c r="F108" s="41"/>
      <c r="G108" s="42"/>
      <c r="H108" s="40"/>
      <c r="I108" s="47"/>
      <c r="J108" s="51"/>
    </row>
    <row r="109" spans="1:10" x14ac:dyDescent="0.2">
      <c r="A109" s="9" t="s">
        <v>68</v>
      </c>
      <c r="B109" s="57" t="s">
        <v>69</v>
      </c>
      <c r="C109" s="90"/>
      <c r="D109" s="91"/>
      <c r="E109" s="91"/>
      <c r="F109" s="92"/>
      <c r="G109" s="9"/>
      <c r="H109" s="8"/>
      <c r="I109" s="80"/>
      <c r="J109" s="81"/>
    </row>
    <row r="110" spans="1:10" x14ac:dyDescent="0.2">
      <c r="A110" s="9"/>
      <c r="B110" s="57" t="s">
        <v>70</v>
      </c>
      <c r="C110" s="90"/>
      <c r="D110" s="91"/>
      <c r="E110" s="91"/>
      <c r="F110" s="92"/>
      <c r="G110" s="9"/>
      <c r="H110" s="8"/>
      <c r="I110" s="80"/>
      <c r="J110" s="81"/>
    </row>
    <row r="111" spans="1:10" x14ac:dyDescent="0.2">
      <c r="A111" s="9"/>
      <c r="B111" s="57" t="s">
        <v>71</v>
      </c>
      <c r="C111" s="55"/>
      <c r="D111" t="s">
        <v>72</v>
      </c>
      <c r="G111" s="9"/>
      <c r="H111" s="8"/>
      <c r="I111" s="80"/>
      <c r="J111" s="81"/>
    </row>
    <row r="112" spans="1:10" x14ac:dyDescent="0.2">
      <c r="B112" s="74" t="s">
        <v>73</v>
      </c>
      <c r="C112" s="55"/>
      <c r="D112" t="s">
        <v>55</v>
      </c>
      <c r="G112" s="9"/>
      <c r="H112" s="8"/>
      <c r="I112" s="80"/>
      <c r="J112" s="81"/>
    </row>
    <row r="113" spans="1:10" x14ac:dyDescent="0.2">
      <c r="B113" s="74" t="s">
        <v>74</v>
      </c>
      <c r="G113" s="9"/>
      <c r="H113" s="8"/>
      <c r="I113" s="80"/>
      <c r="J113" s="81"/>
    </row>
    <row r="114" spans="1:10" x14ac:dyDescent="0.2">
      <c r="A114" s="9"/>
      <c r="B114" s="17"/>
      <c r="G114" s="9"/>
      <c r="H114" s="8"/>
      <c r="I114" s="80"/>
      <c r="J114" s="81"/>
    </row>
    <row r="115" spans="1:10" ht="8" customHeight="1" x14ac:dyDescent="0.2">
      <c r="A115" s="40"/>
      <c r="B115" s="44"/>
      <c r="C115" s="41"/>
      <c r="D115" s="41"/>
      <c r="E115" s="41"/>
      <c r="F115" s="41"/>
      <c r="G115" s="42"/>
      <c r="H115" s="40"/>
      <c r="I115" s="47"/>
      <c r="J115" s="51"/>
    </row>
    <row r="116" spans="1:10" x14ac:dyDescent="0.2">
      <c r="A116" s="9" t="s">
        <v>75</v>
      </c>
      <c r="B116" s="57" t="s">
        <v>76</v>
      </c>
      <c r="C116" s="90"/>
      <c r="D116" s="91"/>
      <c r="E116" s="91"/>
      <c r="F116" s="92"/>
      <c r="G116" s="9"/>
      <c r="H116" s="8"/>
      <c r="I116" s="80"/>
      <c r="J116" s="81"/>
    </row>
    <row r="117" spans="1:10" x14ac:dyDescent="0.2">
      <c r="A117" s="9"/>
      <c r="B117" s="57" t="s">
        <v>77</v>
      </c>
      <c r="C117" s="68"/>
      <c r="D117" s="72"/>
      <c r="E117" s="72"/>
      <c r="F117" s="69"/>
      <c r="G117" s="9"/>
      <c r="H117" s="8"/>
      <c r="I117" s="80"/>
      <c r="J117" s="81"/>
    </row>
    <row r="118" spans="1:10" x14ac:dyDescent="0.2">
      <c r="A118" s="9"/>
      <c r="B118" s="57" t="s">
        <v>78</v>
      </c>
      <c r="C118" s="90"/>
      <c r="D118" s="91"/>
      <c r="E118" s="91"/>
      <c r="F118" s="92"/>
      <c r="G118" s="9"/>
      <c r="H118" s="8"/>
      <c r="I118" s="80"/>
      <c r="J118" s="81"/>
    </row>
    <row r="119" spans="1:10" x14ac:dyDescent="0.2">
      <c r="A119" s="9"/>
      <c r="B119" s="57" t="s">
        <v>79</v>
      </c>
      <c r="C119" s="68"/>
      <c r="D119" s="72"/>
      <c r="E119" s="72"/>
      <c r="F119" s="69"/>
      <c r="G119" s="9"/>
      <c r="H119" s="8"/>
      <c r="I119" s="80"/>
      <c r="J119" s="81"/>
    </row>
    <row r="120" spans="1:10" x14ac:dyDescent="0.2">
      <c r="A120" s="9"/>
      <c r="B120" s="57" t="s">
        <v>80</v>
      </c>
      <c r="C120" s="90"/>
      <c r="D120" s="91"/>
      <c r="E120" s="91"/>
      <c r="F120" s="92"/>
      <c r="G120" s="9"/>
      <c r="H120" s="8"/>
      <c r="I120" s="80"/>
      <c r="J120" s="81"/>
    </row>
    <row r="121" spans="1:10" x14ac:dyDescent="0.2">
      <c r="A121" s="9"/>
      <c r="B121" s="57" t="s">
        <v>81</v>
      </c>
      <c r="C121" s="90"/>
      <c r="D121" s="91"/>
      <c r="E121" s="91"/>
      <c r="F121" s="92"/>
      <c r="G121" s="9"/>
      <c r="H121" s="8"/>
      <c r="I121" s="80"/>
      <c r="J121" s="81"/>
    </row>
    <row r="122" spans="1:10" x14ac:dyDescent="0.2">
      <c r="A122" s="9"/>
      <c r="B122" s="57" t="s">
        <v>185</v>
      </c>
      <c r="C122" s="113"/>
      <c r="D122" t="s">
        <v>184</v>
      </c>
      <c r="G122" s="9"/>
      <c r="H122" s="8"/>
      <c r="I122" s="80"/>
      <c r="J122" s="81"/>
    </row>
    <row r="123" spans="1:10" x14ac:dyDescent="0.2">
      <c r="A123" s="9"/>
      <c r="G123" s="9"/>
      <c r="H123" s="8"/>
      <c r="I123" s="80"/>
      <c r="J123" s="81"/>
    </row>
    <row r="124" spans="1:10" ht="8" customHeight="1" x14ac:dyDescent="0.2">
      <c r="A124" s="40"/>
      <c r="B124" s="44"/>
      <c r="C124" s="41"/>
      <c r="D124" s="41"/>
      <c r="E124" s="41"/>
      <c r="F124" s="41"/>
      <c r="G124" s="42"/>
      <c r="H124" s="40"/>
      <c r="I124" s="47"/>
      <c r="J124" s="51"/>
    </row>
    <row r="125" spans="1:10" x14ac:dyDescent="0.2">
      <c r="A125" s="9" t="s">
        <v>82</v>
      </c>
      <c r="B125" s="57" t="s">
        <v>83</v>
      </c>
      <c r="C125" s="90"/>
      <c r="D125" s="91"/>
      <c r="E125" s="91"/>
      <c r="F125" s="92"/>
      <c r="G125" s="9"/>
      <c r="H125" s="8"/>
      <c r="I125" s="93"/>
      <c r="J125" s="81"/>
    </row>
    <row r="126" spans="1:10" x14ac:dyDescent="0.2">
      <c r="A126" s="9"/>
      <c r="B126" s="57" t="s">
        <v>84</v>
      </c>
      <c r="C126" s="68"/>
      <c r="D126" s="72"/>
      <c r="E126" s="72"/>
      <c r="F126" s="69"/>
      <c r="G126" s="9"/>
      <c r="H126" s="8"/>
      <c r="I126" s="93"/>
      <c r="J126" s="81"/>
    </row>
    <row r="127" spans="1:10" x14ac:dyDescent="0.2">
      <c r="A127" s="9"/>
      <c r="B127" s="57" t="s">
        <v>85</v>
      </c>
      <c r="C127" s="68"/>
      <c r="D127" s="72"/>
      <c r="E127" s="72"/>
      <c r="F127" s="69"/>
      <c r="G127" s="9"/>
      <c r="H127" s="8"/>
      <c r="I127" s="93"/>
      <c r="J127" s="81"/>
    </row>
    <row r="128" spans="1:10" ht="16" customHeight="1" x14ac:dyDescent="0.2">
      <c r="A128" s="9"/>
      <c r="B128" s="57" t="s">
        <v>86</v>
      </c>
      <c r="C128" s="85"/>
      <c r="D128" s="86"/>
      <c r="E128" s="86"/>
      <c r="F128" s="87"/>
      <c r="G128" s="9"/>
      <c r="H128" s="8"/>
      <c r="I128" s="93"/>
      <c r="J128" s="81"/>
    </row>
    <row r="129" spans="1:10" ht="16" customHeight="1" x14ac:dyDescent="0.2">
      <c r="A129" s="9"/>
      <c r="B129" s="57" t="s">
        <v>87</v>
      </c>
      <c r="C129" s="85"/>
      <c r="D129" s="86"/>
      <c r="E129" s="86"/>
      <c r="F129" s="87"/>
      <c r="G129" s="9"/>
      <c r="H129" s="8"/>
      <c r="I129" s="93"/>
      <c r="J129" s="81"/>
    </row>
    <row r="130" spans="1:10" ht="16" customHeight="1" x14ac:dyDescent="0.2">
      <c r="A130" s="9"/>
      <c r="B130" s="57" t="s">
        <v>88</v>
      </c>
      <c r="C130" s="85"/>
      <c r="D130" s="86"/>
      <c r="E130" s="86"/>
      <c r="F130" s="87"/>
      <c r="G130" s="9"/>
      <c r="H130" s="8"/>
      <c r="I130" s="93"/>
      <c r="J130" s="81"/>
    </row>
    <row r="131" spans="1:10" x14ac:dyDescent="0.2">
      <c r="A131" s="9"/>
      <c r="G131" s="9"/>
      <c r="H131" s="8"/>
      <c r="I131" s="93"/>
      <c r="J131" s="81"/>
    </row>
    <row r="132" spans="1:10" ht="8" customHeight="1" x14ac:dyDescent="0.2">
      <c r="A132" s="40"/>
      <c r="B132" s="44"/>
      <c r="C132" s="41"/>
      <c r="D132" s="41"/>
      <c r="E132" s="41"/>
      <c r="F132" s="41"/>
      <c r="G132" s="42"/>
      <c r="H132" s="40"/>
      <c r="I132" s="47"/>
      <c r="J132" s="51"/>
    </row>
    <row r="133" spans="1:10" ht="8" customHeight="1" x14ac:dyDescent="0.2">
      <c r="A133" s="105"/>
      <c r="B133" s="106"/>
      <c r="C133" s="107"/>
      <c r="D133" s="107"/>
      <c r="E133" s="107"/>
      <c r="F133" s="107"/>
      <c r="G133" s="105"/>
      <c r="H133" s="108"/>
      <c r="I133" s="109"/>
      <c r="J133" s="110"/>
    </row>
    <row r="134" spans="1:10" ht="16" customHeight="1" x14ac:dyDescent="0.2">
      <c r="A134" s="105" t="s">
        <v>179</v>
      </c>
      <c r="B134" s="106" t="s">
        <v>183</v>
      </c>
      <c r="C134" s="111"/>
      <c r="D134" s="57" t="s">
        <v>180</v>
      </c>
      <c r="E134" s="55"/>
      <c r="F134" s="57" t="s">
        <v>181</v>
      </c>
      <c r="G134" s="55"/>
      <c r="H134" s="108"/>
      <c r="I134" s="109"/>
      <c r="J134" s="110"/>
    </row>
    <row r="135" spans="1:10" x14ac:dyDescent="0.2">
      <c r="A135" s="105"/>
      <c r="B135" s="106" t="s">
        <v>183</v>
      </c>
      <c r="C135" s="111"/>
      <c r="D135" s="57" t="s">
        <v>180</v>
      </c>
      <c r="E135" s="55"/>
      <c r="F135" s="57" t="s">
        <v>181</v>
      </c>
      <c r="G135" s="55"/>
      <c r="H135" s="108"/>
      <c r="I135" s="109"/>
      <c r="J135" s="110"/>
    </row>
    <row r="136" spans="1:10" x14ac:dyDescent="0.2">
      <c r="A136" s="105"/>
      <c r="B136" s="106" t="s">
        <v>183</v>
      </c>
      <c r="C136" s="111"/>
      <c r="D136" s="57" t="s">
        <v>180</v>
      </c>
      <c r="E136" s="55"/>
      <c r="F136" s="57" t="s">
        <v>181</v>
      </c>
      <c r="G136" s="55"/>
      <c r="H136" s="108"/>
      <c r="I136" s="109"/>
      <c r="J136" s="110"/>
    </row>
    <row r="137" spans="1:10" x14ac:dyDescent="0.2">
      <c r="A137" s="105"/>
      <c r="B137" s="106" t="s">
        <v>183</v>
      </c>
      <c r="C137" s="111"/>
      <c r="D137" s="57" t="s">
        <v>180</v>
      </c>
      <c r="E137" s="55"/>
      <c r="F137" s="57" t="s">
        <v>181</v>
      </c>
      <c r="G137" s="55"/>
      <c r="H137" s="108"/>
      <c r="I137" s="109"/>
      <c r="J137" s="110"/>
    </row>
    <row r="138" spans="1:10" x14ac:dyDescent="0.2">
      <c r="A138" s="105"/>
      <c r="B138" s="106"/>
      <c r="C138" s="106"/>
      <c r="D138" s="106"/>
      <c r="E138" s="107"/>
      <c r="F138" s="107"/>
      <c r="G138" s="105"/>
      <c r="H138" s="108"/>
      <c r="I138" s="109"/>
      <c r="J138" s="110"/>
    </row>
    <row r="139" spans="1:10" ht="8" customHeight="1" x14ac:dyDescent="0.2">
      <c r="A139" s="42"/>
      <c r="B139" s="101"/>
      <c r="C139" s="41"/>
      <c r="D139" s="41"/>
      <c r="E139" s="41"/>
      <c r="F139" s="41"/>
      <c r="G139" s="42"/>
      <c r="H139" s="40"/>
      <c r="I139" s="47"/>
      <c r="J139" s="51"/>
    </row>
    <row r="140" spans="1:10" x14ac:dyDescent="0.2">
      <c r="A140" s="9" t="s">
        <v>89</v>
      </c>
      <c r="B140" s="57"/>
      <c r="G140" s="9"/>
      <c r="H140" s="8"/>
      <c r="I140" s="82"/>
      <c r="J140" s="81"/>
    </row>
    <row r="141" spans="1:10" x14ac:dyDescent="0.2">
      <c r="A141" s="27"/>
      <c r="B141" s="33"/>
      <c r="C141" s="29"/>
      <c r="D141" s="29"/>
      <c r="E141" s="29"/>
      <c r="F141" s="29"/>
      <c r="G141" s="27"/>
      <c r="H141" s="26"/>
      <c r="I141" s="83"/>
      <c r="J141" s="84"/>
    </row>
    <row r="142" spans="1:10" x14ac:dyDescent="0.2">
      <c r="A142" s="61"/>
      <c r="H142" s="61"/>
      <c r="I142" s="61"/>
      <c r="J142" s="62"/>
    </row>
    <row r="143" spans="1:10" x14ac:dyDescent="0.2">
      <c r="A143" s="5" t="s">
        <v>9</v>
      </c>
      <c r="B143" s="58" t="s">
        <v>10</v>
      </c>
      <c r="C143" s="59"/>
      <c r="D143" s="59"/>
      <c r="E143" s="59"/>
      <c r="F143" s="59"/>
      <c r="G143" s="60"/>
      <c r="H143" s="5"/>
      <c r="I143" s="6"/>
      <c r="J143" s="5" t="s">
        <v>90</v>
      </c>
    </row>
    <row r="144" spans="1:10" x14ac:dyDescent="0.2">
      <c r="A144" s="21" t="s">
        <v>91</v>
      </c>
      <c r="B144" s="22"/>
      <c r="C144" s="23"/>
      <c r="D144" s="23"/>
      <c r="E144" s="23"/>
      <c r="F144" s="23"/>
      <c r="G144" s="24"/>
      <c r="H144" s="21"/>
      <c r="I144" s="24"/>
      <c r="J144" s="24"/>
    </row>
    <row r="145" spans="1:10" ht="16" customHeight="1" x14ac:dyDescent="0.2">
      <c r="A145" s="9" t="s">
        <v>92</v>
      </c>
      <c r="B145" s="57" t="s">
        <v>186</v>
      </c>
      <c r="C145" s="85"/>
      <c r="D145" s="86"/>
      <c r="E145" s="86"/>
      <c r="F145" s="87"/>
      <c r="G145" s="9"/>
      <c r="H145" s="8"/>
      <c r="I145" s="88"/>
      <c r="J145" s="89"/>
    </row>
    <row r="146" spans="1:10" ht="16" customHeight="1" x14ac:dyDescent="0.2">
      <c r="A146" s="9"/>
      <c r="B146" s="57" t="s">
        <v>187</v>
      </c>
      <c r="C146" s="85"/>
      <c r="D146" s="86"/>
      <c r="E146" s="86"/>
      <c r="F146" s="87"/>
      <c r="G146" s="9"/>
      <c r="H146" s="8"/>
      <c r="I146" s="80"/>
      <c r="J146" s="81"/>
    </row>
    <row r="147" spans="1:10" x14ac:dyDescent="0.2">
      <c r="A147" s="9"/>
      <c r="B147" s="57" t="s">
        <v>93</v>
      </c>
      <c r="C147" s="55"/>
      <c r="D147" t="s">
        <v>94</v>
      </c>
      <c r="G147" s="9"/>
      <c r="H147" s="8"/>
      <c r="I147" s="80"/>
      <c r="J147" s="81"/>
    </row>
    <row r="148" spans="1:10" x14ac:dyDescent="0.2">
      <c r="A148" s="9"/>
      <c r="B148" s="57" t="s">
        <v>95</v>
      </c>
      <c r="C148" s="65"/>
      <c r="D148" t="s">
        <v>94</v>
      </c>
      <c r="G148" s="9"/>
      <c r="H148" s="8"/>
      <c r="I148" s="80"/>
      <c r="J148" s="81"/>
    </row>
    <row r="149" spans="1:10" x14ac:dyDescent="0.2">
      <c r="A149" s="9"/>
      <c r="B149" s="57" t="s">
        <v>199</v>
      </c>
      <c r="C149" s="65"/>
      <c r="G149" s="9"/>
      <c r="H149" s="8"/>
      <c r="I149" s="80"/>
      <c r="J149" s="81"/>
    </row>
    <row r="150" spans="1:10" x14ac:dyDescent="0.2">
      <c r="A150" s="9"/>
      <c r="B150" s="57" t="s">
        <v>201</v>
      </c>
      <c r="C150" s="65"/>
      <c r="G150" s="9"/>
      <c r="H150" s="8"/>
      <c r="I150" s="80"/>
      <c r="J150" s="81"/>
    </row>
    <row r="151" spans="1:10" x14ac:dyDescent="0.2">
      <c r="A151" s="9"/>
      <c r="B151" s="57" t="s">
        <v>96</v>
      </c>
      <c r="C151" s="55"/>
      <c r="D151" t="s">
        <v>94</v>
      </c>
      <c r="G151" s="9"/>
      <c r="H151" s="8"/>
      <c r="I151" s="80"/>
      <c r="J151" s="81"/>
    </row>
    <row r="152" spans="1:10" x14ac:dyDescent="0.2">
      <c r="A152" s="9"/>
      <c r="B152" s="57" t="s">
        <v>97</v>
      </c>
      <c r="C152" s="55"/>
      <c r="G152" s="9"/>
      <c r="H152" s="8"/>
      <c r="I152" s="80"/>
      <c r="J152" s="81"/>
    </row>
    <row r="153" spans="1:10" x14ac:dyDescent="0.2">
      <c r="A153" s="9"/>
      <c r="B153" s="57"/>
      <c r="G153" s="9"/>
      <c r="H153" s="8"/>
      <c r="I153" s="70"/>
      <c r="J153" s="71"/>
    </row>
    <row r="154" spans="1:10" ht="8" customHeight="1" x14ac:dyDescent="0.2">
      <c r="A154" s="40"/>
      <c r="B154" s="75"/>
      <c r="C154" s="41"/>
      <c r="D154" s="41"/>
      <c r="E154" s="41"/>
      <c r="F154" s="41"/>
      <c r="G154" s="42"/>
      <c r="H154" s="40"/>
      <c r="I154" s="47"/>
      <c r="J154" s="51"/>
    </row>
    <row r="155" spans="1:10" ht="16" customHeight="1" x14ac:dyDescent="0.2">
      <c r="A155" s="9" t="s">
        <v>98</v>
      </c>
      <c r="B155" s="57" t="s">
        <v>186</v>
      </c>
      <c r="C155" s="85"/>
      <c r="D155" s="86"/>
      <c r="E155" s="86"/>
      <c r="F155" s="87"/>
      <c r="G155" s="9"/>
      <c r="H155" s="8"/>
      <c r="I155" s="88"/>
      <c r="J155" s="81"/>
    </row>
    <row r="156" spans="1:10" ht="16" customHeight="1" x14ac:dyDescent="0.2">
      <c r="A156" s="9"/>
      <c r="B156" s="57" t="s">
        <v>187</v>
      </c>
      <c r="C156" s="85"/>
      <c r="D156" s="86"/>
      <c r="E156" s="86"/>
      <c r="F156" s="87"/>
      <c r="G156" s="9"/>
      <c r="H156" s="8"/>
      <c r="I156" s="80"/>
      <c r="J156" s="81"/>
    </row>
    <row r="157" spans="1:10" x14ac:dyDescent="0.2">
      <c r="A157" s="9"/>
      <c r="B157" s="57" t="s">
        <v>200</v>
      </c>
      <c r="C157" s="55"/>
      <c r="D157" t="s">
        <v>94</v>
      </c>
      <c r="G157" s="9"/>
      <c r="H157" s="8"/>
      <c r="I157" s="80"/>
      <c r="J157" s="81"/>
    </row>
    <row r="158" spans="1:10" x14ac:dyDescent="0.2">
      <c r="A158" s="9"/>
      <c r="B158" s="57" t="s">
        <v>99</v>
      </c>
      <c r="C158" s="55"/>
      <c r="D158" t="s">
        <v>94</v>
      </c>
      <c r="G158" s="9"/>
      <c r="H158" s="8"/>
      <c r="I158" s="80"/>
      <c r="J158" s="81"/>
    </row>
    <row r="159" spans="1:10" x14ac:dyDescent="0.2">
      <c r="A159" s="9"/>
      <c r="B159" s="57" t="s">
        <v>202</v>
      </c>
      <c r="C159" s="55"/>
      <c r="G159" s="9"/>
      <c r="H159" s="8"/>
      <c r="I159" s="80"/>
      <c r="J159" s="81"/>
    </row>
    <row r="160" spans="1:10" x14ac:dyDescent="0.2">
      <c r="A160" s="9"/>
      <c r="B160" s="57" t="s">
        <v>203</v>
      </c>
      <c r="C160" s="55"/>
      <c r="G160" s="9"/>
      <c r="H160" s="8"/>
      <c r="I160" s="80"/>
      <c r="J160" s="81"/>
    </row>
    <row r="161" spans="1:10" x14ac:dyDescent="0.2">
      <c r="A161" s="9"/>
      <c r="B161" s="57" t="s">
        <v>96</v>
      </c>
      <c r="C161" s="55"/>
      <c r="D161" t="s">
        <v>94</v>
      </c>
      <c r="G161" s="9"/>
      <c r="H161" s="8"/>
      <c r="I161" s="80"/>
      <c r="J161" s="81"/>
    </row>
    <row r="162" spans="1:10" x14ac:dyDescent="0.2">
      <c r="A162" s="9"/>
      <c r="B162" s="57" t="s">
        <v>97</v>
      </c>
      <c r="C162" s="55"/>
      <c r="G162" s="9"/>
      <c r="H162" s="8"/>
      <c r="I162" s="80"/>
      <c r="J162" s="81"/>
    </row>
    <row r="163" spans="1:10" x14ac:dyDescent="0.2">
      <c r="A163" s="9"/>
      <c r="B163" s="57"/>
      <c r="G163" s="9"/>
      <c r="H163" s="8"/>
      <c r="I163" s="70"/>
      <c r="J163" s="71"/>
    </row>
    <row r="164" spans="1:10" ht="8" customHeight="1" x14ac:dyDescent="0.2">
      <c r="A164" s="40"/>
      <c r="B164" s="75"/>
      <c r="C164" s="41"/>
      <c r="D164" s="41"/>
      <c r="E164" s="41"/>
      <c r="F164" s="41"/>
      <c r="G164" s="42"/>
      <c r="H164" s="40"/>
      <c r="I164" s="47"/>
      <c r="J164" s="51"/>
    </row>
    <row r="165" spans="1:10" ht="16" customHeight="1" x14ac:dyDescent="0.2">
      <c r="A165" s="9" t="s">
        <v>100</v>
      </c>
      <c r="B165" s="57" t="s">
        <v>186</v>
      </c>
      <c r="C165" s="85"/>
      <c r="D165" s="86"/>
      <c r="E165" s="86"/>
      <c r="F165" s="87"/>
      <c r="G165" s="9"/>
      <c r="H165" s="8"/>
      <c r="I165" s="88"/>
      <c r="J165" s="81"/>
    </row>
    <row r="166" spans="1:10" ht="16" customHeight="1" x14ac:dyDescent="0.2">
      <c r="A166" s="9"/>
      <c r="B166" s="57" t="s">
        <v>187</v>
      </c>
      <c r="C166" s="85"/>
      <c r="D166" s="86"/>
      <c r="E166" s="86"/>
      <c r="F166" s="87"/>
      <c r="G166" s="9"/>
      <c r="H166" s="9"/>
      <c r="I166" s="80"/>
      <c r="J166" s="81"/>
    </row>
    <row r="167" spans="1:10" x14ac:dyDescent="0.2">
      <c r="A167" s="9"/>
      <c r="B167" s="57" t="s">
        <v>101</v>
      </c>
      <c r="C167" s="56"/>
      <c r="D167" t="s">
        <v>94</v>
      </c>
      <c r="G167" s="9"/>
      <c r="H167" s="9"/>
      <c r="I167" s="80"/>
      <c r="J167" s="81"/>
    </row>
    <row r="168" spans="1:10" x14ac:dyDescent="0.2">
      <c r="A168" s="9"/>
      <c r="B168" s="57" t="s">
        <v>102</v>
      </c>
      <c r="C168" s="55"/>
      <c r="D168" t="s">
        <v>94</v>
      </c>
      <c r="G168" s="9"/>
      <c r="H168" s="9"/>
      <c r="I168" s="80"/>
      <c r="J168" s="81"/>
    </row>
    <row r="169" spans="1:10" x14ac:dyDescent="0.2">
      <c r="A169" s="9"/>
      <c r="B169" s="57" t="s">
        <v>204</v>
      </c>
      <c r="C169" s="55"/>
      <c r="G169" s="9"/>
      <c r="H169" s="9"/>
      <c r="I169" s="80"/>
      <c r="J169" s="81"/>
    </row>
    <row r="170" spans="1:10" x14ac:dyDescent="0.2">
      <c r="A170" s="9"/>
      <c r="B170" s="57" t="s">
        <v>205</v>
      </c>
      <c r="C170" s="55"/>
      <c r="G170" s="9"/>
      <c r="H170" s="9"/>
      <c r="I170" s="80"/>
      <c r="J170" s="81"/>
    </row>
    <row r="171" spans="1:10" x14ac:dyDescent="0.2">
      <c r="A171" s="9"/>
      <c r="B171" s="57" t="s">
        <v>96</v>
      </c>
      <c r="C171" s="55"/>
      <c r="D171" t="s">
        <v>94</v>
      </c>
      <c r="G171" s="9"/>
      <c r="H171" s="9"/>
      <c r="I171" s="80"/>
      <c r="J171" s="81"/>
    </row>
    <row r="172" spans="1:10" x14ac:dyDescent="0.2">
      <c r="A172" s="9"/>
      <c r="B172" s="57" t="s">
        <v>97</v>
      </c>
      <c r="C172" s="55"/>
      <c r="G172" s="9"/>
      <c r="H172" s="9"/>
      <c r="I172" s="80"/>
      <c r="J172" s="81"/>
    </row>
    <row r="173" spans="1:10" x14ac:dyDescent="0.2">
      <c r="A173" s="9"/>
      <c r="G173" s="9"/>
      <c r="H173" s="9"/>
      <c r="I173" s="70"/>
      <c r="J173" s="71"/>
    </row>
    <row r="174" spans="1:10" ht="6" customHeight="1" x14ac:dyDescent="0.2">
      <c r="A174" s="40"/>
      <c r="B174" s="44"/>
      <c r="C174" s="41"/>
      <c r="D174" s="41"/>
      <c r="E174" s="41"/>
      <c r="F174" s="41"/>
      <c r="G174" s="42"/>
      <c r="H174" s="40"/>
      <c r="I174" s="47"/>
      <c r="J174" s="51"/>
    </row>
    <row r="175" spans="1:10" x14ac:dyDescent="0.2">
      <c r="A175" s="9" t="s">
        <v>105</v>
      </c>
      <c r="B175" s="57" t="s">
        <v>106</v>
      </c>
      <c r="G175" s="9"/>
      <c r="H175" s="9"/>
      <c r="I175" s="82"/>
      <c r="J175" s="81"/>
    </row>
    <row r="176" spans="1:10" x14ac:dyDescent="0.2">
      <c r="A176" s="9"/>
      <c r="B176" s="57"/>
      <c r="G176" s="9"/>
      <c r="H176" s="9"/>
      <c r="I176" s="82"/>
      <c r="J176" s="81"/>
    </row>
    <row r="177" spans="1:10" x14ac:dyDescent="0.2">
      <c r="A177" s="9"/>
      <c r="B177" s="57"/>
      <c r="G177" s="9"/>
      <c r="H177" s="9"/>
      <c r="I177" s="82"/>
      <c r="J177" s="81"/>
    </row>
    <row r="178" spans="1:10" x14ac:dyDescent="0.2">
      <c r="A178" s="9"/>
      <c r="B178" s="57"/>
      <c r="G178" s="9"/>
      <c r="H178" s="9"/>
      <c r="I178" s="82"/>
      <c r="J178" s="81"/>
    </row>
    <row r="179" spans="1:10" x14ac:dyDescent="0.2">
      <c r="A179" s="9"/>
      <c r="B179" s="57"/>
      <c r="G179" s="9"/>
      <c r="H179" s="9"/>
      <c r="I179" s="82"/>
      <c r="J179" s="81"/>
    </row>
    <row r="180" spans="1:10" x14ac:dyDescent="0.2">
      <c r="A180" s="9"/>
      <c r="G180" s="9"/>
      <c r="H180" s="9"/>
      <c r="I180" s="82"/>
      <c r="J180" s="81"/>
    </row>
    <row r="181" spans="1:10" ht="8" customHeight="1" x14ac:dyDescent="0.2">
      <c r="A181" s="40"/>
      <c r="B181" s="44"/>
      <c r="C181" s="41"/>
      <c r="D181" s="41"/>
      <c r="E181" s="41"/>
      <c r="F181" s="41"/>
      <c r="G181" s="42"/>
      <c r="H181" s="40"/>
      <c r="I181" s="47"/>
      <c r="J181" s="51"/>
    </row>
    <row r="182" spans="1:10" x14ac:dyDescent="0.2">
      <c r="A182" s="9" t="s">
        <v>103</v>
      </c>
      <c r="B182" s="57" t="s">
        <v>104</v>
      </c>
      <c r="G182" s="9"/>
      <c r="H182" s="9"/>
      <c r="I182" s="82"/>
      <c r="J182" s="81"/>
    </row>
    <row r="183" spans="1:10" x14ac:dyDescent="0.2">
      <c r="A183" s="9"/>
      <c r="G183" s="9"/>
      <c r="H183" s="9"/>
      <c r="I183" s="82"/>
      <c r="J183" s="81"/>
    </row>
    <row r="184" spans="1:10" ht="8" customHeight="1" x14ac:dyDescent="0.2">
      <c r="A184" s="40"/>
      <c r="B184" s="44"/>
      <c r="C184" s="41"/>
      <c r="D184" s="41"/>
      <c r="E184" s="41"/>
      <c r="F184" s="41"/>
      <c r="G184" s="42"/>
      <c r="H184" s="40"/>
      <c r="I184" s="47"/>
      <c r="J184" s="51"/>
    </row>
    <row r="185" spans="1:10" x14ac:dyDescent="0.2">
      <c r="A185" s="9" t="s">
        <v>113</v>
      </c>
      <c r="B185" s="57" t="s">
        <v>188</v>
      </c>
      <c r="C185" s="55"/>
      <c r="G185" s="9"/>
      <c r="H185" s="9"/>
      <c r="I185" s="80"/>
      <c r="J185" s="81"/>
    </row>
    <row r="186" spans="1:10" x14ac:dyDescent="0.2">
      <c r="A186" s="9"/>
      <c r="B186" s="57" t="s">
        <v>189</v>
      </c>
      <c r="C186" s="55"/>
      <c r="G186" s="9"/>
      <c r="H186" s="9"/>
      <c r="I186" s="80"/>
      <c r="J186" s="81"/>
    </row>
    <row r="187" spans="1:10" x14ac:dyDescent="0.2">
      <c r="A187" s="9"/>
      <c r="B187" s="57" t="s">
        <v>191</v>
      </c>
      <c r="C187" s="55"/>
      <c r="G187" s="9"/>
      <c r="H187" s="9"/>
      <c r="I187" s="80"/>
      <c r="J187" s="81"/>
    </row>
    <row r="188" spans="1:10" x14ac:dyDescent="0.2">
      <c r="A188" s="9"/>
      <c r="B188" s="57" t="s">
        <v>117</v>
      </c>
      <c r="C188" s="55"/>
      <c r="G188" s="9"/>
      <c r="H188" s="9"/>
      <c r="I188" s="80"/>
      <c r="J188" s="81"/>
    </row>
    <row r="189" spans="1:10" x14ac:dyDescent="0.2">
      <c r="A189" s="9"/>
      <c r="B189" s="57" t="s">
        <v>114</v>
      </c>
      <c r="C189" s="55"/>
      <c r="G189" s="9"/>
      <c r="H189" s="9"/>
      <c r="I189" s="80"/>
      <c r="J189" s="81"/>
    </row>
    <row r="190" spans="1:10" x14ac:dyDescent="0.2">
      <c r="A190" s="9"/>
      <c r="B190" s="57" t="s">
        <v>115</v>
      </c>
      <c r="C190" s="55"/>
      <c r="G190" s="9"/>
      <c r="H190" s="9"/>
      <c r="I190" s="80"/>
      <c r="J190" s="81"/>
    </row>
    <row r="191" spans="1:10" x14ac:dyDescent="0.2">
      <c r="A191" s="9"/>
      <c r="B191" s="57" t="s">
        <v>116</v>
      </c>
      <c r="C191" s="55"/>
      <c r="G191" s="9"/>
      <c r="H191" s="9"/>
      <c r="I191" s="80"/>
      <c r="J191" s="81"/>
    </row>
    <row r="192" spans="1:10" x14ac:dyDescent="0.2">
      <c r="A192" s="9"/>
      <c r="B192" s="57" t="s">
        <v>190</v>
      </c>
      <c r="G192" s="9"/>
      <c r="H192" s="9"/>
      <c r="I192" s="70"/>
      <c r="J192" s="71"/>
    </row>
    <row r="193" spans="1:10" x14ac:dyDescent="0.2">
      <c r="A193" s="9"/>
      <c r="B193"/>
      <c r="G193" s="9"/>
      <c r="H193" s="9"/>
      <c r="I193" s="70"/>
      <c r="J193" s="71"/>
    </row>
    <row r="194" spans="1:10" ht="8" customHeight="1" x14ac:dyDescent="0.2">
      <c r="A194" s="40"/>
      <c r="B194" s="44"/>
      <c r="C194" s="41"/>
      <c r="D194" s="41"/>
      <c r="E194" s="41"/>
      <c r="F194" s="41"/>
      <c r="G194" s="42"/>
      <c r="H194" s="40"/>
      <c r="I194" s="47"/>
      <c r="J194" s="51"/>
    </row>
    <row r="195" spans="1:10" x14ac:dyDescent="0.2">
      <c r="A195" s="9" t="s">
        <v>107</v>
      </c>
      <c r="B195" s="64" t="s">
        <v>109</v>
      </c>
      <c r="C195" s="55"/>
      <c r="G195" s="9"/>
      <c r="H195" s="9"/>
      <c r="I195" s="80"/>
      <c r="J195" s="81"/>
    </row>
    <row r="196" spans="1:10" x14ac:dyDescent="0.2">
      <c r="A196" s="9"/>
      <c r="B196" s="64" t="s">
        <v>108</v>
      </c>
      <c r="C196" s="55"/>
      <c r="E196" s="64"/>
      <c r="G196" s="9"/>
      <c r="H196" s="9"/>
      <c r="I196" s="80"/>
      <c r="J196" s="81"/>
    </row>
    <row r="197" spans="1:10" x14ac:dyDescent="0.2">
      <c r="A197" s="9"/>
      <c r="B197" s="57" t="s">
        <v>110</v>
      </c>
      <c r="C197" s="113"/>
      <c r="G197" s="9"/>
      <c r="H197" s="9"/>
      <c r="I197" s="80"/>
      <c r="J197" s="81"/>
    </row>
    <row r="198" spans="1:10" x14ac:dyDescent="0.2">
      <c r="A198" s="9"/>
      <c r="B198" s="57" t="s">
        <v>111</v>
      </c>
      <c r="C198" s="55"/>
      <c r="D198" t="s">
        <v>112</v>
      </c>
      <c r="G198" s="9"/>
      <c r="H198" s="9"/>
      <c r="I198" s="80"/>
      <c r="J198" s="81"/>
    </row>
    <row r="199" spans="1:10" x14ac:dyDescent="0.2">
      <c r="A199" s="9"/>
      <c r="B199" s="57" t="s">
        <v>197</v>
      </c>
      <c r="C199" s="112"/>
      <c r="G199" s="9"/>
      <c r="H199" s="9"/>
      <c r="I199" s="80"/>
      <c r="J199" s="81"/>
    </row>
    <row r="200" spans="1:10" x14ac:dyDescent="0.2">
      <c r="A200" s="9"/>
      <c r="G200" s="9"/>
      <c r="H200" s="9"/>
      <c r="I200" s="80"/>
      <c r="J200" s="81"/>
    </row>
    <row r="201" spans="1:10" ht="8" customHeight="1" x14ac:dyDescent="0.2">
      <c r="A201" s="40"/>
      <c r="B201" s="44"/>
      <c r="C201" s="41"/>
      <c r="D201" s="41"/>
      <c r="E201" s="41"/>
      <c r="F201" s="41"/>
      <c r="G201" s="42"/>
      <c r="H201" s="40"/>
      <c r="I201" s="47"/>
      <c r="J201" s="51"/>
    </row>
    <row r="202" spans="1:10" ht="51" x14ac:dyDescent="0.2">
      <c r="A202" s="9" t="s">
        <v>125</v>
      </c>
      <c r="B202" s="102" t="s">
        <v>170</v>
      </c>
      <c r="G202" s="9"/>
      <c r="H202" s="9"/>
      <c r="I202" s="9"/>
      <c r="J202" s="9"/>
    </row>
    <row r="203" spans="1:10" ht="17" customHeight="1" x14ac:dyDescent="0.2">
      <c r="A203" s="9"/>
      <c r="G203" s="9"/>
      <c r="H203" s="9"/>
      <c r="I203" s="9"/>
      <c r="J203" s="9"/>
    </row>
    <row r="204" spans="1:10" ht="8" customHeight="1" x14ac:dyDescent="0.2">
      <c r="A204" s="42"/>
      <c r="B204" s="101"/>
      <c r="C204" s="41"/>
      <c r="D204" s="41"/>
      <c r="E204" s="41"/>
      <c r="F204" s="41"/>
      <c r="G204" s="42"/>
      <c r="H204" s="42"/>
      <c r="I204" s="47"/>
      <c r="J204" s="51"/>
    </row>
    <row r="205" spans="1:10" ht="51" x14ac:dyDescent="0.2">
      <c r="A205" s="9" t="s">
        <v>126</v>
      </c>
      <c r="B205" s="102" t="s">
        <v>170</v>
      </c>
      <c r="G205" s="9"/>
      <c r="H205" s="9"/>
      <c r="I205" s="9"/>
      <c r="J205" s="9"/>
    </row>
    <row r="206" spans="1:10" x14ac:dyDescent="0.2">
      <c r="A206" s="9"/>
      <c r="G206" s="9"/>
      <c r="H206" s="9"/>
      <c r="I206" s="9"/>
      <c r="J206" s="9"/>
    </row>
    <row r="207" spans="1:10" ht="8" customHeight="1" x14ac:dyDescent="0.2">
      <c r="A207" s="42"/>
      <c r="B207" s="101"/>
      <c r="C207" s="41"/>
      <c r="D207" s="41"/>
      <c r="E207" s="41"/>
      <c r="F207" s="41"/>
      <c r="G207" s="42"/>
      <c r="H207" s="42"/>
      <c r="I207" s="47"/>
      <c r="J207" s="51"/>
    </row>
    <row r="208" spans="1:10" ht="15" customHeight="1" x14ac:dyDescent="0.2">
      <c r="A208" s="9" t="s">
        <v>118</v>
      </c>
      <c r="B208" s="57" t="s">
        <v>192</v>
      </c>
      <c r="C208" s="55"/>
      <c r="G208" s="9"/>
      <c r="H208" s="9"/>
      <c r="I208" s="115"/>
      <c r="J208" s="81"/>
    </row>
    <row r="209" spans="1:10" ht="15" customHeight="1" x14ac:dyDescent="0.2">
      <c r="A209" s="9"/>
      <c r="B209" s="57" t="s">
        <v>193</v>
      </c>
      <c r="C209" s="55"/>
      <c r="G209" s="9"/>
      <c r="H209" s="9"/>
      <c r="I209" s="115"/>
      <c r="J209" s="81"/>
    </row>
    <row r="210" spans="1:10" ht="15" customHeight="1" x14ac:dyDescent="0.2">
      <c r="A210" s="9"/>
      <c r="B210" s="57" t="s">
        <v>194</v>
      </c>
      <c r="C210" s="113"/>
      <c r="G210" s="9"/>
      <c r="H210" s="9"/>
      <c r="I210" s="115"/>
      <c r="J210" s="81"/>
    </row>
    <row r="211" spans="1:10" ht="15" customHeight="1" x14ac:dyDescent="0.2">
      <c r="A211" s="9"/>
      <c r="B211" s="57" t="s">
        <v>176</v>
      </c>
      <c r="C211" s="113"/>
      <c r="G211" s="9"/>
      <c r="H211" s="9"/>
      <c r="I211" s="115"/>
      <c r="J211" s="81"/>
    </row>
    <row r="212" spans="1:10" ht="15" customHeight="1" x14ac:dyDescent="0.2">
      <c r="A212" s="9"/>
      <c r="B212" s="57" t="s">
        <v>198</v>
      </c>
      <c r="C212" s="112"/>
      <c r="G212" s="9"/>
      <c r="H212" s="9"/>
      <c r="I212" s="115"/>
      <c r="J212" s="81"/>
    </row>
    <row r="213" spans="1:10" x14ac:dyDescent="0.2">
      <c r="A213" s="9"/>
      <c r="G213" s="9"/>
      <c r="H213" s="9"/>
      <c r="I213" s="115"/>
      <c r="J213" s="81"/>
    </row>
    <row r="214" spans="1:10" ht="8" customHeight="1" x14ac:dyDescent="0.2">
      <c r="A214" s="40"/>
      <c r="B214" s="44"/>
      <c r="C214" s="41"/>
      <c r="D214" s="41"/>
      <c r="E214" s="41"/>
      <c r="F214" s="41"/>
      <c r="G214" s="42"/>
      <c r="H214" s="40"/>
      <c r="I214" s="47"/>
      <c r="J214" s="51"/>
    </row>
    <row r="215" spans="1:10" x14ac:dyDescent="0.2">
      <c r="A215" s="9" t="s">
        <v>89</v>
      </c>
      <c r="G215" s="9"/>
      <c r="H215" s="9"/>
      <c r="I215" s="82"/>
      <c r="J215" s="81"/>
    </row>
    <row r="216" spans="1:10" x14ac:dyDescent="0.2">
      <c r="A216" s="9"/>
      <c r="G216" s="9"/>
      <c r="H216" s="9"/>
      <c r="I216" s="83"/>
      <c r="J216" s="84"/>
    </row>
    <row r="220" spans="1:10" x14ac:dyDescent="0.2">
      <c r="A220" s="21" t="s">
        <v>127</v>
      </c>
      <c r="B220" s="22"/>
      <c r="C220" s="23"/>
      <c r="D220" s="23"/>
      <c r="E220" s="23"/>
      <c r="F220" s="23"/>
      <c r="G220" s="23"/>
      <c r="H220" s="23"/>
      <c r="I220" s="23"/>
      <c r="J220" s="24"/>
    </row>
    <row r="221" spans="1:10" x14ac:dyDescent="0.2">
      <c r="A221" s="8" t="s">
        <v>128</v>
      </c>
      <c r="B221" s="66"/>
      <c r="C221" s="55"/>
      <c r="J221" s="9"/>
    </row>
    <row r="222" spans="1:10" x14ac:dyDescent="0.2">
      <c r="A222" s="8" t="s">
        <v>129</v>
      </c>
      <c r="B222" s="17"/>
      <c r="C222" s="55"/>
      <c r="J222" s="9"/>
    </row>
    <row r="223" spans="1:10" x14ac:dyDescent="0.2">
      <c r="A223" s="8" t="s">
        <v>130</v>
      </c>
      <c r="B223" s="17"/>
      <c r="C223" s="55"/>
      <c r="J223" s="9"/>
    </row>
    <row r="224" spans="1:10" x14ac:dyDescent="0.2">
      <c r="A224" s="8" t="s">
        <v>131</v>
      </c>
      <c r="B224" s="17"/>
      <c r="C224" s="55"/>
      <c r="J224" s="9"/>
    </row>
    <row r="225" spans="1:10" x14ac:dyDescent="0.2">
      <c r="A225" s="8" t="s">
        <v>132</v>
      </c>
      <c r="B225" s="17"/>
      <c r="C225" s="55"/>
      <c r="J225" s="9"/>
    </row>
    <row r="226" spans="1:10" x14ac:dyDescent="0.2">
      <c r="A226" s="26" t="s">
        <v>133</v>
      </c>
      <c r="B226" s="34"/>
      <c r="C226" s="55"/>
      <c r="D226" s="29"/>
      <c r="E226" s="29"/>
      <c r="F226" s="29"/>
      <c r="G226" s="29"/>
      <c r="H226" s="29"/>
      <c r="I226" s="29"/>
      <c r="J226" s="27"/>
    </row>
    <row r="230" spans="1:10" x14ac:dyDescent="0.2">
      <c r="A230" s="9" t="s">
        <v>134</v>
      </c>
      <c r="B230" s="18" t="s">
        <v>135</v>
      </c>
    </row>
    <row r="231" spans="1:10" x14ac:dyDescent="0.2">
      <c r="B231" s="19" t="s">
        <v>136</v>
      </c>
      <c r="D231" s="10"/>
    </row>
    <row r="232" spans="1:10" x14ac:dyDescent="0.2">
      <c r="B232" s="20" t="s">
        <v>137</v>
      </c>
      <c r="C232" s="12"/>
      <c r="D232" s="12"/>
      <c r="E232" s="12"/>
      <c r="F232" s="13"/>
    </row>
    <row r="233" spans="1:10" x14ac:dyDescent="0.2">
      <c r="B233" s="19" t="s">
        <v>138</v>
      </c>
    </row>
    <row r="234" spans="1:10" x14ac:dyDescent="0.2">
      <c r="B234" s="19" t="s">
        <v>139</v>
      </c>
      <c r="E234" t="s">
        <v>140</v>
      </c>
    </row>
    <row r="235" spans="1:10" x14ac:dyDescent="0.2">
      <c r="B235" s="20" t="s">
        <v>141</v>
      </c>
      <c r="C235" s="12"/>
      <c r="D235" s="12"/>
      <c r="E235" s="12" t="s">
        <v>142</v>
      </c>
      <c r="F235" s="13"/>
    </row>
    <row r="236" spans="1:10" x14ac:dyDescent="0.2">
      <c r="B236" s="19" t="s">
        <v>143</v>
      </c>
      <c r="E236" t="s">
        <v>140</v>
      </c>
    </row>
    <row r="237" spans="1:10" x14ac:dyDescent="0.2">
      <c r="B237" s="19" t="s">
        <v>144</v>
      </c>
    </row>
    <row r="238" spans="1:10" x14ac:dyDescent="0.2">
      <c r="B238" s="19" t="s">
        <v>145</v>
      </c>
    </row>
    <row r="239" spans="1:10" x14ac:dyDescent="0.2">
      <c r="B239" s="19" t="s">
        <v>146</v>
      </c>
      <c r="E239" t="s">
        <v>140</v>
      </c>
    </row>
    <row r="240" spans="1:10" x14ac:dyDescent="0.2">
      <c r="B240" s="19" t="s">
        <v>147</v>
      </c>
    </row>
    <row r="241" spans="2:6" x14ac:dyDescent="0.2">
      <c r="B241" s="19" t="s">
        <v>148</v>
      </c>
    </row>
    <row r="242" spans="2:6" x14ac:dyDescent="0.2">
      <c r="B242" s="19" t="s">
        <v>149</v>
      </c>
      <c r="E242" t="s">
        <v>140</v>
      </c>
    </row>
    <row r="243" spans="2:6" x14ac:dyDescent="0.2">
      <c r="B243" s="19" t="s">
        <v>150</v>
      </c>
      <c r="E243" t="s">
        <v>140</v>
      </c>
    </row>
    <row r="244" spans="2:6" x14ac:dyDescent="0.2">
      <c r="B244" s="19" t="s">
        <v>151</v>
      </c>
      <c r="E244" t="s">
        <v>140</v>
      </c>
    </row>
    <row r="245" spans="2:6" x14ac:dyDescent="0.2">
      <c r="B245" s="19" t="s">
        <v>152</v>
      </c>
      <c r="E245" t="s">
        <v>140</v>
      </c>
    </row>
    <row r="246" spans="2:6" x14ac:dyDescent="0.2">
      <c r="B246" s="19" t="s">
        <v>153</v>
      </c>
    </row>
    <row r="247" spans="2:6" x14ac:dyDescent="0.2">
      <c r="B247" s="19" t="s">
        <v>154</v>
      </c>
      <c r="E247" t="s">
        <v>140</v>
      </c>
    </row>
    <row r="248" spans="2:6" x14ac:dyDescent="0.2">
      <c r="B248" s="19" t="s">
        <v>155</v>
      </c>
      <c r="E248" t="s">
        <v>140</v>
      </c>
    </row>
    <row r="249" spans="2:6" x14ac:dyDescent="0.2">
      <c r="B249" s="19" t="s">
        <v>156</v>
      </c>
      <c r="E249" t="s">
        <v>140</v>
      </c>
    </row>
    <row r="250" spans="2:6" x14ac:dyDescent="0.2">
      <c r="B250" s="20" t="s">
        <v>157</v>
      </c>
      <c r="C250" s="12"/>
      <c r="D250" s="12"/>
      <c r="E250" s="12"/>
      <c r="F250" s="13"/>
    </row>
    <row r="251" spans="2:6" x14ac:dyDescent="0.2">
      <c r="B251" s="16" t="s">
        <v>158</v>
      </c>
      <c r="E251" t="s">
        <v>159</v>
      </c>
    </row>
    <row r="253" spans="2:6" x14ac:dyDescent="0.2">
      <c r="B253" s="18" t="s">
        <v>160</v>
      </c>
    </row>
  </sheetData>
  <mergeCells count="74">
    <mergeCell ref="C52:F52"/>
    <mergeCell ref="I52:I64"/>
    <mergeCell ref="J52:J64"/>
    <mergeCell ref="J39:J42"/>
    <mergeCell ref="B37:G37"/>
    <mergeCell ref="C39:F39"/>
    <mergeCell ref="I39:I42"/>
    <mergeCell ref="C40:F40"/>
    <mergeCell ref="C41:F41"/>
    <mergeCell ref="C42:F42"/>
    <mergeCell ref="C48:F48"/>
    <mergeCell ref="C47:F47"/>
    <mergeCell ref="C53:F53"/>
    <mergeCell ref="I67:I70"/>
    <mergeCell ref="J67:J70"/>
    <mergeCell ref="I74:I77"/>
    <mergeCell ref="J74:J77"/>
    <mergeCell ref="I47:I50"/>
    <mergeCell ref="J47:J50"/>
    <mergeCell ref="C97:F97"/>
    <mergeCell ref="I97:I105"/>
    <mergeCell ref="J97:J105"/>
    <mergeCell ref="C98:F98"/>
    <mergeCell ref="C109:F109"/>
    <mergeCell ref="I109:I114"/>
    <mergeCell ref="J109:J114"/>
    <mergeCell ref="C110:F110"/>
    <mergeCell ref="I81:I87"/>
    <mergeCell ref="J81:J87"/>
    <mergeCell ref="C89:F89"/>
    <mergeCell ref="I89:I94"/>
    <mergeCell ref="J89:J94"/>
    <mergeCell ref="C91:F91"/>
    <mergeCell ref="C81:F81"/>
    <mergeCell ref="C82:F82"/>
    <mergeCell ref="C90:F90"/>
    <mergeCell ref="C120:F120"/>
    <mergeCell ref="I140:I141"/>
    <mergeCell ref="J140:J141"/>
    <mergeCell ref="C116:F116"/>
    <mergeCell ref="I116:I123"/>
    <mergeCell ref="J116:J123"/>
    <mergeCell ref="C118:F118"/>
    <mergeCell ref="C129:F129"/>
    <mergeCell ref="C130:F130"/>
    <mergeCell ref="C145:F145"/>
    <mergeCell ref="I145:I152"/>
    <mergeCell ref="J145:J152"/>
    <mergeCell ref="C121:F121"/>
    <mergeCell ref="C125:F125"/>
    <mergeCell ref="I125:I131"/>
    <mergeCell ref="J125:J131"/>
    <mergeCell ref="C128:F128"/>
    <mergeCell ref="C146:F146"/>
    <mergeCell ref="C155:F155"/>
    <mergeCell ref="I155:I162"/>
    <mergeCell ref="J155:J162"/>
    <mergeCell ref="C165:F165"/>
    <mergeCell ref="I165:I172"/>
    <mergeCell ref="J165:J172"/>
    <mergeCell ref="C156:F156"/>
    <mergeCell ref="C166:F166"/>
    <mergeCell ref="I175:I180"/>
    <mergeCell ref="J175:J180"/>
    <mergeCell ref="I195:I200"/>
    <mergeCell ref="J195:J200"/>
    <mergeCell ref="I182:I183"/>
    <mergeCell ref="J182:J183"/>
    <mergeCell ref="I185:I191"/>
    <mergeCell ref="J185:J191"/>
    <mergeCell ref="I208:I213"/>
    <mergeCell ref="J208:J213"/>
    <mergeCell ref="I215:I216"/>
    <mergeCell ref="J215:J216"/>
  </mergeCells>
  <conditionalFormatting sqref="I67:I68">
    <cfRule type="expression" dxfId="305" priority="241">
      <formula>AND($B$69="Inhalation NOAEL =",$C$69&gt;=2.5,ISNUMBER($C$69))</formula>
    </cfRule>
    <cfRule type="expression" dxfId="304" priority="242">
      <formula>AND($B$69="Inhalation NOAEL =",$C$69&gt;=0.25,ISNUMBER($C$69))</formula>
    </cfRule>
    <cfRule type="expression" dxfId="303" priority="243">
      <formula>AND($B$69="Inhalation NOAEL =",$C$69&lt;0.25,$C$69&gt;0)</formula>
    </cfRule>
    <cfRule type="expression" dxfId="302" priority="253">
      <formula>AND($B$69="Oral NOAEL =",$C$69&gt;=500,ISNUMBER($C$69))</formula>
    </cfRule>
    <cfRule type="expression" dxfId="301" priority="254">
      <formula>AND($B$69="Oral NOAEL =",$C$69&gt;=50,ISNUMBER($C$69))</formula>
    </cfRule>
    <cfRule type="expression" dxfId="300" priority="255">
      <formula>AND($B$69="Oral NOAEL =",$C$69&lt;50,$C$69&gt;0)</formula>
    </cfRule>
    <cfRule type="expression" dxfId="299" priority="256">
      <formula>$C$67="MAK C"</formula>
    </cfRule>
    <cfRule type="expression" dxfId="298" priority="257">
      <formula>OR($C$67="Repr. 1A: H360: May damage fertility or the unborn child",$C$67="Repr. 1B: H360: May damage fertility or the unborn child",$C$67="Repr. 2: H361: Suspected of damaging fertility or the unborn child",$C$67="MAK A",$C$67="MAK B")</formula>
    </cfRule>
  </conditionalFormatting>
  <conditionalFormatting sqref="I39:I45">
    <cfRule type="expression" dxfId="297" priority="220">
      <formula>$I$39="Manually set to: Grey"</formula>
    </cfRule>
    <cfRule type="expression" dxfId="296" priority="227">
      <formula>$I$39="Manually set to: Red"</formula>
    </cfRule>
    <cfRule type="expression" dxfId="295" priority="228">
      <formula>$I$39="Manually set to: Yellow"</formula>
    </cfRule>
    <cfRule type="expression" dxfId="294" priority="229">
      <formula>$I$39="Manually set to: Green"</formula>
    </cfRule>
    <cfRule type="expression" dxfId="293" priority="244">
      <formula>OR(C39="TLV A1",C39="TLV A2",C39="TLV A3",C39="Carc. 1A: H350: May cause cancer",C39="Carc. 1B: H350: May cause cancer",C39="Carc. 2: H351: Suspected of causing cancer")</formula>
    </cfRule>
    <cfRule type="expression" dxfId="292" priority="245">
      <formula>OR(C39="MAK III 1",C39="MAK III 2",C39="MAK III 3B",C39="IARC 1",C39="IARC 2A",C39="IARC 2B")</formula>
    </cfRule>
    <cfRule type="expression" dxfId="291" priority="246">
      <formula>OR(C39="MAK III 3A",C39="MAK III 4",C39="MAK III 5")</formula>
    </cfRule>
    <cfRule type="expression" dxfId="290" priority="247">
      <formula>OR(C39="TLV A5",C39="IARC 4")</formula>
    </cfRule>
    <cfRule type="expression" dxfId="289" priority="248">
      <formula>OR(C39="IARC 3",C39="TLV A4")</formula>
    </cfRule>
  </conditionalFormatting>
  <conditionalFormatting sqref="P50">
    <cfRule type="expression" dxfId="288" priority="252">
      <formula>AND(K51="Positive",K52="Positive")</formula>
    </cfRule>
  </conditionalFormatting>
  <conditionalFormatting sqref="I74:I75">
    <cfRule type="expression" dxfId="287" priority="233">
      <formula>AND($B$76="Inhalation NOAEL =",$C$76&gt;=2.5,ISNUMBER($C$76))</formula>
    </cfRule>
    <cfRule type="expression" dxfId="286" priority="234">
      <formula>AND($B$76="Inhalation NOAEL =",$C$76&gt;=0.25,ISNUMBER($C$76))</formula>
    </cfRule>
    <cfRule type="expression" dxfId="285" priority="235">
      <formula>AND($B$76="Inhalation NOAEL =",$C$76&lt;0.25,$C$76&gt;0)</formula>
    </cfRule>
    <cfRule type="expression" dxfId="284" priority="236">
      <formula>AND($B$76="Oral NOAEL =",$C$76&gt;=500,ISNUMBER($C$76))</formula>
    </cfRule>
    <cfRule type="expression" dxfId="283" priority="237">
      <formula>AND($B$76="Oral NOAEL =",$C$76&gt;=50,ISNUMBER($C$76))</formula>
    </cfRule>
    <cfRule type="expression" dxfId="282" priority="238">
      <formula>AND($B$76="Oral NOAEL =",$C$76&lt;50,$C$76&gt;0)</formula>
    </cfRule>
    <cfRule type="expression" dxfId="281" priority="239">
      <formula>$C$74="MAK C"</formula>
    </cfRule>
    <cfRule type="expression" dxfId="280" priority="240">
      <formula>OR($C$74="Repr. 1A: H360: May damage fertility or the unborn child",$C$74="Repr. 1B: H360: May damage fertility or the unborn child",$C$74="Repr. 2: H361: Suspected of damaging fertility or the unborn child",$C$74="MAK A",$C$74="MAK B")</formula>
    </cfRule>
  </conditionalFormatting>
  <conditionalFormatting sqref="I67:I72">
    <cfRule type="expression" dxfId="279" priority="96">
      <formula>$I$67="Manually set to: Grey"</formula>
    </cfRule>
    <cfRule type="expression" dxfId="278" priority="230">
      <formula>$I$67="Manually set to:  Red"</formula>
    </cfRule>
    <cfRule type="expression" dxfId="277" priority="231">
      <formula>$I$67="Manually set to: Yellow"</formula>
    </cfRule>
    <cfRule type="expression" dxfId="276" priority="232">
      <formula>$I$67="Manually set to: Green"</formula>
    </cfRule>
  </conditionalFormatting>
  <conditionalFormatting sqref="I47:I50">
    <cfRule type="expression" dxfId="275" priority="219">
      <formula>$I$47="Manually set to: Grey"</formula>
    </cfRule>
    <cfRule type="expression" dxfId="274" priority="224">
      <formula>$I$47="Manually set to: Green"</formula>
    </cfRule>
    <cfRule type="expression" dxfId="273" priority="225">
      <formula>$I$47="Manually set to: Yellow"</formula>
    </cfRule>
    <cfRule type="expression" dxfId="272" priority="226">
      <formula>$I$47="Manually set to: Red"</formula>
    </cfRule>
  </conditionalFormatting>
  <conditionalFormatting sqref="I74:I79">
    <cfRule type="expression" dxfId="271" priority="218">
      <formula>$I$74="Manually set to: Grey"</formula>
    </cfRule>
    <cfRule type="expression" dxfId="270" priority="221">
      <formula>$I$74="Manually set to: Red"</formula>
    </cfRule>
    <cfRule type="expression" dxfId="269" priority="222">
      <formula>$I$74="Manually set to: Yellow"</formula>
    </cfRule>
    <cfRule type="expression" dxfId="268" priority="223">
      <formula>$I$74="Manually set to: Green"</formula>
    </cfRule>
  </conditionalFormatting>
  <conditionalFormatting sqref="J39:J45">
    <cfRule type="expression" dxfId="267" priority="214">
      <formula>$J$39="Manually set to: Grey"</formula>
    </cfRule>
    <cfRule type="expression" dxfId="266" priority="215">
      <formula>$J$39="Manually set to: Red"</formula>
    </cfRule>
    <cfRule type="expression" dxfId="265" priority="216">
      <formula>$J$39="Manually set to: Yellow"</formula>
    </cfRule>
    <cfRule type="expression" dxfId="264" priority="217">
      <formula>$J$39="Manually set to: Green"</formula>
    </cfRule>
  </conditionalFormatting>
  <conditionalFormatting sqref="J47:J50">
    <cfRule type="expression" dxfId="263" priority="210">
      <formula>$J$47="Manually set to: Grey"</formula>
    </cfRule>
    <cfRule type="expression" dxfId="262" priority="211">
      <formula>$J$47="Manually set to: Red"</formula>
    </cfRule>
    <cfRule type="expression" dxfId="261" priority="212">
      <formula>$J$47="Manually set to: Yellow"</formula>
    </cfRule>
    <cfRule type="expression" dxfId="260" priority="213">
      <formula>$J$47="Manually set to: Green"</formula>
    </cfRule>
  </conditionalFormatting>
  <conditionalFormatting sqref="J52:J53">
    <cfRule type="expression" dxfId="259" priority="206">
      <formula>$J$52="Manually set to: Grey"</formula>
    </cfRule>
    <cfRule type="expression" dxfId="258" priority="207">
      <formula>$J$52="Manually set to: Red"</formula>
    </cfRule>
    <cfRule type="expression" dxfId="257" priority="208">
      <formula>$J$52="Manually set to: Yellow"</formula>
    </cfRule>
    <cfRule type="expression" dxfId="256" priority="209">
      <formula>$J$52="Manually set to: Green"</formula>
    </cfRule>
  </conditionalFormatting>
  <conditionalFormatting sqref="J67:J68">
    <cfRule type="expression" dxfId="255" priority="202">
      <formula>$J$67="Manually set to: Grey"</formula>
    </cfRule>
    <cfRule type="expression" dxfId="254" priority="203">
      <formula>$J$67="Manually set to: Red"</formula>
    </cfRule>
    <cfRule type="expression" dxfId="253" priority="204">
      <formula>$J$67="Manually set to: Yellow"</formula>
    </cfRule>
    <cfRule type="expression" dxfId="252" priority="205">
      <formula>$J$67="Manually set to: Green"</formula>
    </cfRule>
  </conditionalFormatting>
  <conditionalFormatting sqref="J74:J75">
    <cfRule type="expression" dxfId="251" priority="198">
      <formula>$J$74="Manually set to: Grey"</formula>
    </cfRule>
    <cfRule type="expression" dxfId="250" priority="199">
      <formula>$J$74="Manually set to: Red"</formula>
    </cfRule>
    <cfRule type="expression" dxfId="249" priority="200">
      <formula>$J$74="Manually set to: Yellow"</formula>
    </cfRule>
    <cfRule type="expression" dxfId="248" priority="201">
      <formula>$J$74="Manually set to: Green"</formula>
    </cfRule>
  </conditionalFormatting>
  <conditionalFormatting sqref="J81:J87">
    <cfRule type="expression" dxfId="247" priority="194">
      <formula>$J$81="Manually set to: Grey"</formula>
    </cfRule>
    <cfRule type="expression" dxfId="246" priority="195">
      <formula>$J$81="Manually set to: Red"</formula>
    </cfRule>
    <cfRule type="expression" dxfId="245" priority="196">
      <formula>$J$81="Manually set to: Yellow"</formula>
    </cfRule>
    <cfRule type="expression" dxfId="244" priority="197">
      <formula>$J$81="Manually set to: Green"</formula>
    </cfRule>
  </conditionalFormatting>
  <conditionalFormatting sqref="J89:J90">
    <cfRule type="expression" dxfId="243" priority="190">
      <formula>$J$89="Manually set to: Grey"</formula>
    </cfRule>
    <cfRule type="expression" dxfId="242" priority="191">
      <formula>$J$89="Manually set to: Red"</formula>
    </cfRule>
    <cfRule type="expression" dxfId="241" priority="192">
      <formula>$J$89="Manually set to: Yellow"</formula>
    </cfRule>
    <cfRule type="expression" dxfId="240" priority="193">
      <formula>$J$89="Manually set to: Green"</formula>
    </cfRule>
  </conditionalFormatting>
  <conditionalFormatting sqref="J97">
    <cfRule type="expression" dxfId="239" priority="186">
      <formula>$J$97="Manually set to: Grey"</formula>
    </cfRule>
    <cfRule type="expression" dxfId="238" priority="187">
      <formula>$J$97="Manually set to: Red"</formula>
    </cfRule>
    <cfRule type="expression" dxfId="237" priority="188">
      <formula>$J$97="Manually set to: Yellow"</formula>
    </cfRule>
    <cfRule type="expression" dxfId="236" priority="189">
      <formula>$J$97="Manually set to: Green"</formula>
    </cfRule>
  </conditionalFormatting>
  <conditionalFormatting sqref="J109">
    <cfRule type="expression" dxfId="235" priority="182">
      <formula>$J$109="Manually set to: Grey"</formula>
    </cfRule>
    <cfRule type="expression" dxfId="234" priority="183">
      <formula>$J$109="Manually set to: Red"</formula>
    </cfRule>
    <cfRule type="expression" dxfId="233" priority="184">
      <formula>$J$109="Manually set to: Yellow"</formula>
    </cfRule>
    <cfRule type="expression" dxfId="232" priority="185">
      <formula>$J$109="Manually set to: Green"</formula>
    </cfRule>
  </conditionalFormatting>
  <conditionalFormatting sqref="J116:J117">
    <cfRule type="expression" dxfId="231" priority="178">
      <formula>$J$116="Manually set to: Grey"</formula>
    </cfRule>
    <cfRule type="expression" dxfId="230" priority="179">
      <formula>$J$116="Manually set to: Red"</formula>
    </cfRule>
    <cfRule type="expression" dxfId="229" priority="180">
      <formula>$J$116="Manually set to: Yellow"</formula>
    </cfRule>
    <cfRule type="expression" dxfId="228" priority="181">
      <formula>$J$116="Manually set to: Green"</formula>
    </cfRule>
  </conditionalFormatting>
  <conditionalFormatting sqref="J125:J127">
    <cfRule type="expression" dxfId="227" priority="174">
      <formula>$J$125="Manually set to: Grey"</formula>
    </cfRule>
    <cfRule type="expression" dxfId="226" priority="175">
      <formula>$J$125="Manually set to: Red"</formula>
    </cfRule>
    <cfRule type="expression" dxfId="225" priority="176">
      <formula>$J$125="Manually set to: Yellow"</formula>
    </cfRule>
    <cfRule type="expression" dxfId="224" priority="177">
      <formula>$J$125="Manually set to: Green"</formula>
    </cfRule>
  </conditionalFormatting>
  <conditionalFormatting sqref="J140:J142">
    <cfRule type="expression" dxfId="223" priority="170">
      <formula>$J$140="Manually set to: Grey"</formula>
    </cfRule>
    <cfRule type="expression" dxfId="222" priority="171">
      <formula>$J$140="Manually set to: Red"</formula>
    </cfRule>
    <cfRule type="expression" dxfId="221" priority="172">
      <formula>$J$140="Manually set to: Yellow"</formula>
    </cfRule>
    <cfRule type="expression" dxfId="220" priority="173">
      <formula>$J$140="Manually set to: Green"</formula>
    </cfRule>
  </conditionalFormatting>
  <conditionalFormatting sqref="J145:J146">
    <cfRule type="expression" dxfId="219" priority="166">
      <formula>$J$145="Manually set to: Grey"</formula>
    </cfRule>
    <cfRule type="expression" dxfId="218" priority="167">
      <formula>$J$145="Manually set to: Red"</formula>
    </cfRule>
    <cfRule type="expression" dxfId="217" priority="168">
      <formula>$J$145="Manually set to: Yellow"</formula>
    </cfRule>
    <cfRule type="expression" dxfId="216" priority="169">
      <formula>$J$145="Manually set to: Green"</formula>
    </cfRule>
  </conditionalFormatting>
  <conditionalFormatting sqref="J155:J156">
    <cfRule type="expression" dxfId="215" priority="162">
      <formula>$J$155="Manually set to: Grey"</formula>
    </cfRule>
    <cfRule type="expression" dxfId="214" priority="163">
      <formula>$J$155="Manually set to: Red"</formula>
    </cfRule>
    <cfRule type="expression" dxfId="213" priority="164">
      <formula>$J$155="Manually set to: Yellow"</formula>
    </cfRule>
    <cfRule type="expression" dxfId="212" priority="165">
      <formula>$J$155="Manually set to: Green"</formula>
    </cfRule>
  </conditionalFormatting>
  <conditionalFormatting sqref="J165:J166">
    <cfRule type="expression" dxfId="211" priority="158">
      <formula>$J$165="Manually set to: Grey"</formula>
    </cfRule>
    <cfRule type="expression" dxfId="210" priority="159">
      <formula>$J$165="Manually set to: Red"</formula>
    </cfRule>
    <cfRule type="expression" dxfId="209" priority="160">
      <formula>$J$165="Manually set to: Yellow"</formula>
    </cfRule>
    <cfRule type="expression" dxfId="208" priority="161">
      <formula>$J$165="Manually set to: Green"</formula>
    </cfRule>
  </conditionalFormatting>
  <conditionalFormatting sqref="J175:J180">
    <cfRule type="expression" dxfId="207" priority="150">
      <formula>$J$175="Manually set to: Grey"</formula>
    </cfRule>
    <cfRule type="expression" dxfId="206" priority="151">
      <formula>$J$175="Manually set to: Red"</formula>
    </cfRule>
    <cfRule type="expression" dxfId="205" priority="152">
      <formula>$J$175="Manually set to: Yellow"</formula>
    </cfRule>
    <cfRule type="expression" dxfId="204" priority="153">
      <formula>$J$175="Manually set to: Green"</formula>
    </cfRule>
  </conditionalFormatting>
  <conditionalFormatting sqref="J195:J196">
    <cfRule type="expression" dxfId="203" priority="146">
      <formula>$J$195="Manually set to: Grey"</formula>
    </cfRule>
    <cfRule type="expression" dxfId="202" priority="147">
      <formula>$J$195="Manually set to: Red"</formula>
    </cfRule>
    <cfRule type="expression" dxfId="201" priority="148">
      <formula>$J$195="Manually set to: Yellow"</formula>
    </cfRule>
    <cfRule type="expression" dxfId="200" priority="149">
      <formula>$J$195="Manually set to: Green"</formula>
    </cfRule>
  </conditionalFormatting>
  <conditionalFormatting sqref="J208:J213">
    <cfRule type="expression" dxfId="199" priority="138">
      <formula>$J$208="Manually set to: Grey"</formula>
    </cfRule>
    <cfRule type="expression" dxfId="198" priority="139">
      <formula>$J$208="Manually set to: Red"</formula>
    </cfRule>
    <cfRule type="expression" dxfId="197" priority="140">
      <formula>$J$208="Manually set to: Yellow"</formula>
    </cfRule>
    <cfRule type="expression" dxfId="196" priority="141">
      <formula>$J$208="Manually set to: Green"</formula>
    </cfRule>
  </conditionalFormatting>
  <conditionalFormatting sqref="J215:J216">
    <cfRule type="expression" dxfId="195" priority="134">
      <formula>$J$215="Manually set to: Grey"</formula>
    </cfRule>
    <cfRule type="expression" dxfId="194" priority="135">
      <formula>$J$215="Manually set to: Red"</formula>
    </cfRule>
    <cfRule type="expression" dxfId="193" priority="136">
      <formula>$J$215="Manually set to: Yellow"</formula>
    </cfRule>
    <cfRule type="expression" dxfId="192" priority="137">
      <formula>$J$215="Manually set to: Green"</formula>
    </cfRule>
  </conditionalFormatting>
  <conditionalFormatting sqref="I81:I87">
    <cfRule type="expression" dxfId="191" priority="130">
      <formula>$I$81="Manually set to: Grey"</formula>
    </cfRule>
    <cfRule type="expression" dxfId="190" priority="131">
      <formula>$I$81="Manually set to: Red"</formula>
    </cfRule>
    <cfRule type="expression" dxfId="189" priority="132">
      <formula>$I$81="Manually set to: Yellow"</formula>
    </cfRule>
    <cfRule type="expression" dxfId="188" priority="133">
      <formula>$I$81="Manually set to: Green"</formula>
    </cfRule>
  </conditionalFormatting>
  <conditionalFormatting sqref="I140:I141">
    <cfRule type="expression" dxfId="187" priority="126">
      <formula>$I$140="Manually set to: Grey"</formula>
    </cfRule>
    <cfRule type="expression" dxfId="186" priority="127">
      <formula>$I$140="Manually set to: Green"</formula>
    </cfRule>
    <cfRule type="expression" dxfId="185" priority="128">
      <formula>$I$140="Manually set to: Yellow"</formula>
    </cfRule>
    <cfRule type="expression" dxfId="184" priority="129">
      <formula>$I$140="Manually set to: Red"</formula>
    </cfRule>
  </conditionalFormatting>
  <conditionalFormatting sqref="I175:I180">
    <cfRule type="expression" dxfId="183" priority="118">
      <formula>$I$175="Manually set to: Grey"</formula>
    </cfRule>
    <cfRule type="expression" dxfId="182" priority="119">
      <formula>$I$175="Manually set to: Green"</formula>
    </cfRule>
    <cfRule type="expression" dxfId="181" priority="120">
      <formula>$I$175="Manually set to: Yellow"</formula>
    </cfRule>
    <cfRule type="expression" dxfId="180" priority="121">
      <formula>$I$175="Manually set to: Red"</formula>
    </cfRule>
  </conditionalFormatting>
  <conditionalFormatting sqref="I208:I213">
    <cfRule type="expression" dxfId="179" priority="114">
      <formula>$I$208="Manually set to: Grey"</formula>
    </cfRule>
    <cfRule type="expression" dxfId="178" priority="115">
      <formula>$I$208="Manually set to: Green"</formula>
    </cfRule>
    <cfRule type="expression" dxfId="177" priority="116">
      <formula>$I$208="Manually set to: Yellow"</formula>
    </cfRule>
    <cfRule type="expression" dxfId="176" priority="117">
      <formula>$I$208="Manually set to: Red"</formula>
    </cfRule>
  </conditionalFormatting>
  <conditionalFormatting sqref="I215:I216">
    <cfRule type="expression" dxfId="175" priority="110">
      <formula>$I$215="Manually set to: Grey"</formula>
    </cfRule>
    <cfRule type="expression" dxfId="174" priority="111">
      <formula>$I$215="Manually set to: Green"</formula>
    </cfRule>
    <cfRule type="expression" dxfId="173" priority="112">
      <formula>$I$215="Manually set to: Yellow"</formula>
    </cfRule>
    <cfRule type="expression" dxfId="172" priority="113">
      <formula>$I$215="Manually set to: Red"</formula>
    </cfRule>
  </conditionalFormatting>
  <conditionalFormatting sqref="I89:I95">
    <cfRule type="expression" dxfId="171" priority="258">
      <formula>$I$89="Manually set to: Grey"</formula>
    </cfRule>
    <cfRule type="expression" dxfId="170" priority="259">
      <formula>$I$89="Manually set to: Green"</formula>
    </cfRule>
    <cfRule type="expression" dxfId="169" priority="260">
      <formula>$I$89="Manually set to: Yellow"</formula>
    </cfRule>
    <cfRule type="expression" dxfId="168" priority="261">
      <formula>$I$89="Manually set to: Red"</formula>
    </cfRule>
    <cfRule type="expression" dxfId="167" priority="262">
      <formula>OR(AND(ISNUMBER($C$92),$C$92&lt;300),AND(ISNUMBER($C$93),$C$93&lt;10))</formula>
    </cfRule>
    <cfRule type="expression" dxfId="166" priority="263">
      <formula>$C$91="STOT RE 1: H372: Causes damage trough repeated oral exposure"</formula>
    </cfRule>
    <cfRule type="expression" dxfId="165" priority="264">
      <formula>$C$91="STOT SE 1: H370: Causes damage to organs via oral exposure"</formula>
    </cfRule>
    <cfRule type="expression" dxfId="164" priority="265">
      <formula>$C$89="Asp. Tox. 1: H304: May be fatal if swallowed and enters airways"</formula>
    </cfRule>
    <cfRule type="expression" dxfId="163" priority="266">
      <formula>$C$89="Acute Tox. 3: H301: Toxic if swallowed"</formula>
    </cfRule>
    <cfRule type="expression" dxfId="162" priority="267">
      <formula>$C$89="Acute Tox. 2: H300: Fatal if swallowed"</formula>
    </cfRule>
    <cfRule type="expression" dxfId="161" priority="268">
      <formula>$C$89="Acute Tox. 1: H300: Fatal if swallowed"</formula>
    </cfRule>
    <cfRule type="expression" dxfId="160" priority="269">
      <formula>$C$91="STOT RE 1: H372: Causes damage via repeated oral exposure"</formula>
    </cfRule>
    <cfRule type="expression" dxfId="159" priority="270">
      <formula>$C$91="STOT RE 2: H373: May cause damage via repeated oral exposure"</formula>
    </cfRule>
    <cfRule type="expression" dxfId="158" priority="271">
      <formula>$C$89="Acute Tox. 4: H302: Harmful if swallowed"</formula>
    </cfRule>
    <cfRule type="expression" dxfId="157" priority="272">
      <formula>AND($C$92&gt;=2000,$C$93&gt;=100,ISNUMBER($C$92),ISNUMBER($C$93))</formula>
    </cfRule>
    <cfRule type="expression" dxfId="156" priority="273">
      <formula>AND(OR($C$92&gt;=300,$C$93&gt;=10),ISNUMBER($C$92),ISNUMBER($C$93))</formula>
    </cfRule>
  </conditionalFormatting>
  <conditionalFormatting sqref="I109:I114">
    <cfRule type="expression" dxfId="155" priority="274">
      <formula>$I$109="Manually set to: Grey"</formula>
    </cfRule>
    <cfRule type="expression" dxfId="154" priority="275">
      <formula>$I$109="Manually set to: Green"</formula>
    </cfRule>
    <cfRule type="expression" dxfId="153" priority="276">
      <formula>$I$109="Manually set to: Yellow"</formula>
    </cfRule>
    <cfRule type="expression" dxfId="152" priority="277">
      <formula>$I$109="Manually set to: Red"</formula>
    </cfRule>
    <cfRule type="expression" dxfId="151" priority="278">
      <formula>OR(AND(ISNUMBER($C$111),$C$111&lt;1000),AND(ISNUMBER($C$112),$C$112&lt;20))</formula>
    </cfRule>
    <cfRule type="expression" dxfId="150" priority="279">
      <formula>$C$110="STOT RE 1: H372: Causes damage via repeated dermal exposure"</formula>
    </cfRule>
    <cfRule type="expression" dxfId="149" priority="280">
      <formula>$C$110="STOT SE 1: H370: Causes damage to organs via oral exposure"</formula>
    </cfRule>
    <cfRule type="expression" dxfId="148" priority="281">
      <formula>$C$110="STOT SE 1: H370: Causes damage to organs via dermal exposure"</formula>
    </cfRule>
    <cfRule type="expression" dxfId="147" priority="282">
      <formula>$C$109="Acute Tox. 3: H311: Toxic in contact with skin"</formula>
    </cfRule>
    <cfRule type="expression" dxfId="146" priority="283">
      <formula>$C$109="Acute Tox. 2: H310: Fatal in contact with skin"</formula>
    </cfRule>
    <cfRule type="expression" dxfId="145" priority="284">
      <formula>$C$109="Acute Tox. 1: H310: Fatal in contact with skin"</formula>
    </cfRule>
    <cfRule type="expression" dxfId="144" priority="285">
      <formula>$C$110="STOT SE 2: H371: May cause damage to organs via dermal exposure"</formula>
    </cfRule>
    <cfRule type="expression" dxfId="143" priority="286">
      <formula>$C$110="STOT RE 2: H373: May cause damage via repeated dermal exposure"</formula>
    </cfRule>
    <cfRule type="expression" dxfId="142" priority="287">
      <formula>$C$109="Acute Tox. 4: H312: Harmful in contact with skin"</formula>
    </cfRule>
    <cfRule type="expression" dxfId="141" priority="288">
      <formula>OR(AND(ISNUMBER($C$111),$C$111&gt;=1000,$C$111&lt;2000),AND(ISNUMBER($C$112),$C$112&gt;=20,$C$112&lt;200))</formula>
    </cfRule>
    <cfRule type="expression" dxfId="140" priority="289">
      <formula>OR(AND(ISNUMBER($C$111),$C$111&gt;=2000),AND(ISNUMBER($C$112),$C$112&gt;=200))</formula>
    </cfRule>
  </conditionalFormatting>
  <conditionalFormatting sqref="I125:I131">
    <cfRule type="expression" dxfId="139" priority="86">
      <formula>$I$125="Manually set to: Grey"</formula>
    </cfRule>
    <cfRule type="expression" dxfId="138" priority="87">
      <formula>$I$125="Manually set to: Green"</formula>
    </cfRule>
    <cfRule type="expression" dxfId="137" priority="290">
      <formula>$I$125="Manually set to: Yellow"</formula>
    </cfRule>
    <cfRule type="expression" dxfId="136" priority="291">
      <formula>$I$125="Manually set to: Red"</formula>
    </cfRule>
    <cfRule type="expression" dxfId="135" priority="292">
      <formula>$C$125="Sensitizing according to testing"</formula>
    </cfRule>
    <cfRule type="expression" dxfId="134" priority="293">
      <formula>$C$125="MAK Sh"</formula>
    </cfRule>
    <cfRule type="expression" dxfId="133" priority="294">
      <formula>$C$128="MAK Sa"</formula>
    </cfRule>
    <cfRule type="expression" dxfId="132" priority="295">
      <formula>$C$128="Sensitizing according to testing"</formula>
    </cfRule>
    <cfRule type="expression" dxfId="131" priority="296">
      <formula>$C$128="Resp. Sens. 1: H334 May cause allergy or asthma symptoms or breathing difficulties if inhaled"</formula>
    </cfRule>
    <cfRule type="expression" dxfId="130" priority="297">
      <formula>$C$125="Skin Sens. 1: H317 May cause an allergic skin reaction"</formula>
    </cfRule>
    <cfRule type="expression" dxfId="129" priority="298">
      <formula>$C$125="Not sensitzing according to testing"</formula>
    </cfRule>
    <cfRule type="expression" dxfId="128" priority="299">
      <formula>$C$128="Not sensitzing according to testing"</formula>
    </cfRule>
  </conditionalFormatting>
  <conditionalFormatting sqref="I97">
    <cfRule type="expression" dxfId="127" priority="300">
      <formula>$I$97="Manually set to: Grey"</formula>
    </cfRule>
    <cfRule type="expression" dxfId="126" priority="301">
      <formula>$I$97="Manually set to: Red"</formula>
    </cfRule>
    <cfRule type="expression" dxfId="125" priority="302">
      <formula>$I$97="Manually set to: Yellow"</formula>
    </cfRule>
    <cfRule type="expression" dxfId="124" priority="303">
      <formula>$I$97="Manually set to: Green"</formula>
    </cfRule>
    <cfRule type="expression" dxfId="123" priority="304">
      <formula>OR($C$97="Acute Tox. 1: H330: Fatal if inhaled",$C$97="Acute Tox. 2: H330: Fatal if inhaled",$C$97="Acute Tox. 3: H331: Toxic if inhaled")</formula>
    </cfRule>
    <cfRule type="expression" dxfId="122" priority="305">
      <formula>OR($C$98="STOT SE 1: H370: Damages organs via inhal. exp.",$C$98="STOT RE 1: H372: Damages organs via repeated inhal. exp.")</formula>
    </cfRule>
    <cfRule type="expression" dxfId="121" priority="306">
      <formula>AND($B$99="Acute: LC50 (gas) =",$C$99&lt;2500,ISNUMBER($C$99))</formula>
    </cfRule>
    <cfRule type="expression" dxfId="120" priority="307">
      <formula>AND($B$99="Acute: LC50 (dust/mist/aerosol) =",$C$99&lt;1,ISNUMBER($C$99))</formula>
    </cfRule>
    <cfRule type="expression" dxfId="119" priority="308">
      <formula>AND($B$99="Acute: LC50 (vapor) =",$C$99&lt;10,ISNUMBER($C$99))</formula>
    </cfRule>
    <cfRule type="expression" dxfId="118" priority="309">
      <formula>AND($B$102="Chronic: LOAEL (gas) =",$C$102&lt;50,ISNUMBER($C$102))</formula>
    </cfRule>
    <cfRule type="expression" dxfId="117" priority="310">
      <formula>AND($B$102="Chronic: LOAEL (vapor) =",$C$102&lt;0.2,ISNUMBER($C$102))</formula>
    </cfRule>
    <cfRule type="expression" dxfId="116" priority="311">
      <formula>AND($B$102="Chronic: LOAEL (dust/mist/aerosol) =",$C$102&lt;0.02,ISNUMBER($C$102))</formula>
    </cfRule>
    <cfRule type="expression" dxfId="115" priority="312">
      <formula>$C$97="Acute Tox. 4: H332: Harmful if inhaled"</formula>
    </cfRule>
    <cfRule type="expression" dxfId="114" priority="313">
      <formula>OR($C$98="STOT SE 2: H371: May damage organs via inhal. exp.",$C$98="STOT RE 2: H373: May damage organs via repeated inhal. exp.",$C$98="STOT SE 3: H336: May cause drowsiness")</formula>
    </cfRule>
    <cfRule type="expression" dxfId="113" priority="314">
      <formula>AND($B$102="Chronic: LOAEL (gas) =",AND($C$102&gt;=50,$C$102&lt;250),ISNUMBER($C$102))</formula>
    </cfRule>
    <cfRule type="expression" dxfId="112" priority="315">
      <formula>AND($B$102="Chronic: LOAEL (vapor) =",AND($C$102&gt;=0.2,$C$102&lt;1),ISNUMBER($C$102))</formula>
    </cfRule>
    <cfRule type="expression" dxfId="111" priority="316">
      <formula>AND($B$102="Chronic: LOAEL (dust/mist/aerosol) =",AND($C$102&gt;=0.02,$C$102&lt;0.2),ISNUMBER($C$102))</formula>
    </cfRule>
    <cfRule type="expression" dxfId="110" priority="317">
      <formula>AND($B$99="Acute: LC50 (gas) =",AND($C$99&gt;=2500,$C$99&lt;20000),ISNUMBER($C$99))</formula>
    </cfRule>
    <cfRule type="expression" dxfId="109" priority="318">
      <formula>AND($B$99="Acute: LC50 (vapor) =",AND($C$99&gt;=10,$C$99&lt;20),ISNUMBER($C$99))</formula>
    </cfRule>
    <cfRule type="expression" dxfId="108" priority="319">
      <formula>AND($B$99="Acute: LC50 (dust/mist/aerosol) =",AND($C$99&gt;=1,$C$99&lt;5),ISNUMBER($C$99))</formula>
    </cfRule>
    <cfRule type="expression" dxfId="107" priority="320">
      <formula>AND($B$102="Chronic: LOAEL (vapor) =",$C$102&gt;=1,ISNUMBER($C$102))</formula>
    </cfRule>
    <cfRule type="expression" dxfId="106" priority="321">
      <formula>AND($B$102="Chronic: LOAEL (gas) =",$C$102&gt;=250,ISNUMBER($C$102))</formula>
    </cfRule>
    <cfRule type="expression" dxfId="105" priority="322">
      <formula>AND($B$102="Chronic: LOAEL (dust/mist/aerosol) =",$C$102&gt;=0.2,ISNUMBER($C$102))</formula>
    </cfRule>
    <cfRule type="expression" dxfId="104" priority="323">
      <formula>AND($B$99="Acute: LC50 (gas) =",$C$99&gt;=20000,ISNUMBER($C$99))</formula>
    </cfRule>
    <cfRule type="expression" dxfId="103" priority="324">
      <formula>AND($B$99="Acute: LC50 (vapor) =",$C$99&gt;=20,ISNUMBER($C$99))</formula>
    </cfRule>
    <cfRule type="expression" dxfId="102" priority="325">
      <formula>AND($B$99="Acute: LC50 (dust/mist/aerosol) =",$C$99&gt;=5,ISNUMBER($C$99))</formula>
    </cfRule>
  </conditionalFormatting>
  <conditionalFormatting sqref="I145:I146">
    <cfRule type="expression" dxfId="101" priority="69">
      <formula>$I$145="Manually set to: Grey"</formula>
    </cfRule>
    <cfRule type="expression" dxfId="100" priority="75">
      <formula>$I$145="Manually set to: Green"</formula>
    </cfRule>
    <cfRule type="expression" dxfId="99" priority="90">
      <formula>$I$145="Manually set to: Yellow"</formula>
    </cfRule>
    <cfRule type="expression" dxfId="98" priority="326">
      <formula>$I$145="Manually set to: Red"</formula>
    </cfRule>
    <cfRule type="expression" dxfId="97" priority="327">
      <formula>AND($C$151&lt;=0.001,ISNUMBER($C$151))</formula>
    </cfRule>
    <cfRule type="expression" dxfId="96" priority="328">
      <formula>OR($C$145="Aqua. Acute 1: H400",$C$145="Aqua. Chronic 1: H410",$C$145="Aqua. Chronic 2: H411",$C$145="Aqua. Chronic 3: H412",$C$145="Aqua. Chronic 4: H413")</formula>
    </cfRule>
    <cfRule type="expression" dxfId="95" priority="329">
      <formula>AND($C$147&lt;10,ISNUMBER($C$147))</formula>
    </cfRule>
    <cfRule type="expression" dxfId="94" priority="330">
      <formula>AND($C$148&lt;1,ISNUMBER($C$148))</formula>
    </cfRule>
    <cfRule type="expression" dxfId="93" priority="331">
      <formula>AND($C$147&gt;=100,ISNUMBER($C$147),$C$148&gt;=10,ISNUMBER($C$148))</formula>
    </cfRule>
    <cfRule type="expression" dxfId="92" priority="332">
      <formula>OR($C$145="Aqua. Acute 2: H401",$C$145="Aqua. Acute 3: H402")</formula>
    </cfRule>
    <cfRule type="expression" dxfId="91" priority="333">
      <formula>AND($C$148&gt;=1,ISNUMBER($C$148),$C$147&gt;=10,ISNUMBER($C$147))</formula>
    </cfRule>
    <cfRule type="expression" dxfId="90" priority="334">
      <formula>AND($C$147&gt;=100,ISNUMBER($C$147))</formula>
    </cfRule>
    <cfRule type="expression" dxfId="89" priority="335">
      <formula>AND($C$148&gt;=10,ISNUMBER($C$148))</formula>
    </cfRule>
  </conditionalFormatting>
  <conditionalFormatting sqref="I155:I156">
    <cfRule type="expression" dxfId="88" priority="68">
      <formula>$I$155="Manually set to: Grey"</formula>
    </cfRule>
    <cfRule type="expression" dxfId="87" priority="74">
      <formula>$I$155="Manually set to: Green"</formula>
    </cfRule>
    <cfRule type="expression" dxfId="86" priority="89">
      <formula>$I$155="Manually set to: Yellow"</formula>
    </cfRule>
    <cfRule type="expression" dxfId="85" priority="336">
      <formula>$I$155="Manually set to: Red"</formula>
    </cfRule>
    <cfRule type="expression" dxfId="84" priority="337">
      <formula>AND($C$161&lt;=0.001,ISNUMBER($C$161))</formula>
    </cfRule>
    <cfRule type="expression" dxfId="83" priority="338">
      <formula>OR($C$155="Aqua. Acute 1: H400",$C$155="Aqua. Chronic 1: H410",$C$155="Aqua. Chronic 2: H411",$C$155="Aqua. Chronic 3: H412",$C$155="Aqua. Chronic 4: H413")</formula>
    </cfRule>
    <cfRule type="expression" dxfId="82" priority="339">
      <formula>AND($C$157&lt;10,ISNUMBER($C$157))</formula>
    </cfRule>
    <cfRule type="expression" dxfId="81" priority="340">
      <formula>AND($C$158&lt;1,ISNUMBER($C$158))</formula>
    </cfRule>
    <cfRule type="expression" dxfId="80" priority="341">
      <formula>AND($C$158&gt;=10,ISNUMBER($C$158),$C$157&gt;=100,ISNUMBER($C$157))</formula>
    </cfRule>
    <cfRule type="expression" dxfId="79" priority="342">
      <formula>AND($C$157&gt;=10,ISNUMBER($C$157),$C$158&gt;=1,ISNUMBER($C$158))</formula>
    </cfRule>
    <cfRule type="expression" dxfId="78" priority="343">
      <formula>OR($C$155="Aqua. Acute 2: H401",$C$155="Aqua. Acute 3: H402")</formula>
    </cfRule>
    <cfRule type="expression" dxfId="77" priority="344">
      <formula>AND($C$157&gt;=100,ISNUMBER($C$157))</formula>
    </cfRule>
    <cfRule type="expression" dxfId="76" priority="345">
      <formula>AND($C$158&gt;=10,ISNUMBER($C$158))</formula>
    </cfRule>
  </conditionalFormatting>
  <conditionalFormatting sqref="I165:I166">
    <cfRule type="expression" dxfId="75" priority="67">
      <formula>$I$165="Manually set to: Grey"</formula>
    </cfRule>
    <cfRule type="expression" dxfId="74" priority="88">
      <formula>$I$165="Manually set to: Green"</formula>
    </cfRule>
    <cfRule type="expression" dxfId="73" priority="346">
      <formula>$I$165="Manually set to: Yellow"</formula>
    </cfRule>
    <cfRule type="expression" dxfId="72" priority="347">
      <formula>$I$165="Manually set to: Red"</formula>
    </cfRule>
    <cfRule type="expression" dxfId="71" priority="348">
      <formula>AND($C$171&lt;=0.001,ISNUMBER($C$171))</formula>
    </cfRule>
    <cfRule type="expression" dxfId="70" priority="349">
      <formula>OR($C$165="Aqua. Acute 1: H400",$C$165="Aqua. Chronic 1: H410",$C$165="Aqua. Chronic 2: H411",$C$165="Aqua. Chronic 3: H412",$C$165="Aqua. Chronic 4: H413")</formula>
    </cfRule>
    <cfRule type="expression" dxfId="69" priority="350">
      <formula>AND($C$167&lt;10,ISNUMBER($C$167))</formula>
    </cfRule>
    <cfRule type="expression" dxfId="68" priority="351">
      <formula>AND($C$168&lt;1,ISNUMBER($C$168))</formula>
    </cfRule>
    <cfRule type="expression" dxfId="67" priority="352">
      <formula>AND($C$167&gt;=100,ISNUMBER($C$167),$C$168&gt;=10,ISNUMBER($C$168))</formula>
    </cfRule>
    <cfRule type="expression" dxfId="66" priority="353">
      <formula>OR($C$165="Aqua. Acute 2: H401",$C$165="Aqua. Acute 3: H402")</formula>
    </cfRule>
    <cfRule type="expression" dxfId="65" priority="354">
      <formula>AND($C$167&gt;=10,ISNUMBER($C$167),$C$168&gt;=1,ISNUMBER($C$168))</formula>
    </cfRule>
    <cfRule type="expression" dxfId="64" priority="355">
      <formula>AND($C$167&gt;=100,ISNUMBER($C$167))</formula>
    </cfRule>
    <cfRule type="expression" dxfId="63" priority="356">
      <formula>AND($C$168&gt;=10,ISNUMBER($C$168))</formula>
    </cfRule>
  </conditionalFormatting>
  <conditionalFormatting sqref="I195:I196">
    <cfRule type="expression" dxfId="62" priority="70">
      <formula>$I$195="Manually set to: Purple"</formula>
    </cfRule>
    <cfRule type="expression" dxfId="61" priority="71">
      <formula>$I$195="Manually set to: Grey"</formula>
    </cfRule>
    <cfRule type="expression" dxfId="60" priority="72">
      <formula>$I$195="Manually set to: Green"</formula>
    </cfRule>
    <cfRule type="expression" dxfId="59" priority="73">
      <formula>$I$195="Manually set to: Yellow"</formula>
    </cfRule>
    <cfRule type="expression" dxfId="58" priority="357">
      <formula>$I$195="Manually set to: Red"</formula>
    </cfRule>
    <cfRule type="expression" dxfId="57" priority="358">
      <formula>AND($C$198&gt;=1000,ISNUMBER($C$198))</formula>
    </cfRule>
    <cfRule type="expression" dxfId="56" priority="359">
      <formula>AND($C$197&lt;2,ISNUMBER($C$197))</formula>
    </cfRule>
    <cfRule type="expression" dxfId="55" priority="360">
      <formula>AND($B$195="BCF/BAF (experimental):",$C$195&gt;5000,ISNUMBER($C$195))</formula>
    </cfRule>
    <cfRule type="expression" dxfId="54" priority="361">
      <formula>AND($B$195="BCF/BAF (QSAR):",$C$195&gt;5000,$C$197&lt;6,ISNUMBER($C$195),ISNUMBER($C$197))</formula>
    </cfRule>
    <cfRule type="expression" dxfId="53" priority="362">
      <formula>AND($B$195="BCF/BAF (QSAR):",$C$195&gt;2000,$C$195&lt;=5000,$C$197&lt;6,ISNUMBER($C$195),ISNUMBER($C$197))</formula>
    </cfRule>
    <cfRule type="expression" dxfId="52" priority="363">
      <formula>AND($B$195="BCF/BAF (experimental):",$C$195&gt;2000,ISNUMBER($C$195))</formula>
    </cfRule>
    <cfRule type="expression" dxfId="51" priority="364">
      <formula>AND($B$195="BCF/BAF (experimental):",$C$195&gt;500,ISNUMBER($C$195))</formula>
    </cfRule>
    <cfRule type="expression" dxfId="50" priority="365">
      <formula>AND($B$195="BCF/BAF (QSAR):",$C$195&gt;500,$C$197&lt;6,ISNUMBER($C$195),ISNUMBER($C$197))</formula>
    </cfRule>
    <cfRule type="expression" dxfId="49" priority="366">
      <formula>AND($B$195="BCF/BAF (QSAR):",$C$195&lt;=500,$C$197&lt;6,ISNUMBER($C$195),ISNUMBER($C$197))</formula>
    </cfRule>
    <cfRule type="expression" dxfId="48" priority="367">
      <formula>AND($B$195="BCF/BAF (experimental):",$C$195&lt;=500,ISNUMBER($C$195))</formula>
    </cfRule>
  </conditionalFormatting>
  <conditionalFormatting sqref="I52:I53">
    <cfRule type="expression" dxfId="47" priority="97">
      <formula>$I$52="Manually set to: Grey"</formula>
    </cfRule>
    <cfRule type="expression" dxfId="46" priority="98">
      <formula>$I$52="Manually set to: Red"</formula>
    </cfRule>
    <cfRule type="expression" dxfId="45" priority="99">
      <formula>$I$52="Manually set to: Yellow"</formula>
    </cfRule>
    <cfRule type="expression" dxfId="44" priority="100">
      <formula>$I$52="Manually set to: Green"</formula>
    </cfRule>
    <cfRule type="expression" dxfId="43" priority="101">
      <formula>OR($C$52="Muta. 1A: H340: May cause genetic defects",$C$52="Muta. 1B: H340: May cause genetic defects",$C$52="Muta. 2: H341: Suspected of causing genetic defects",$C$52="MAK IX 1",$C$52="MAK IX 2",$C$52="MAK IX 3A",$C$52="MAK IX 3B")</formula>
    </cfRule>
  </conditionalFormatting>
  <conditionalFormatting sqref="I116:I117">
    <cfRule type="expression" dxfId="42" priority="91">
      <formula>$I$116="Manually set to: Grey"</formula>
    </cfRule>
    <cfRule type="expression" dxfId="41" priority="92">
      <formula>$I$116="Manually set to: Green"</formula>
    </cfRule>
    <cfRule type="expression" dxfId="40" priority="93">
      <formula>$I$116="Manually set to: Yellow"</formula>
    </cfRule>
    <cfRule type="expression" dxfId="39" priority="94">
      <formula>$I$116="Manually set to: Red"</formula>
    </cfRule>
    <cfRule type="expression" dxfId="38" priority="369">
      <formula>$C$118="Eye damaging according to testing"</formula>
    </cfRule>
    <cfRule type="expression" dxfId="37" priority="370">
      <formula>$C$116="Skin corrosive according to testing"</formula>
    </cfRule>
    <cfRule type="expression" dxfId="36" priority="371">
      <formula>$C$120="Corrosive according to testing"</formula>
    </cfRule>
    <cfRule type="expression" dxfId="35" priority="372">
      <formula>$C$118="Eye Dam. 1: H318 Causes serious eye damage"</formula>
    </cfRule>
    <cfRule type="expression" dxfId="34" priority="373">
      <formula>$C$116="Skin Corr. 1: H314 Causes severe skin burns and eye damage"</formula>
    </cfRule>
    <cfRule type="expression" dxfId="33" priority="374">
      <formula>$C$120="STOT SE 3: H335 May cause respiratory tract irritation"</formula>
    </cfRule>
    <cfRule type="expression" dxfId="32" priority="375">
      <formula>$C$120="Irritating according to testing"</formula>
    </cfRule>
    <cfRule type="expression" dxfId="31" priority="376">
      <formula>$C$118="Eye irritating according to testing"</formula>
    </cfRule>
    <cfRule type="expression" dxfId="30" priority="377">
      <formula>$C$116="Skin irritating according to testing"</formula>
    </cfRule>
    <cfRule type="expression" dxfId="29" priority="378">
      <formula>$C$118="Eye irrit. 2b: H320 Causes eye irritation"</formula>
    </cfRule>
    <cfRule type="expression" dxfId="28" priority="379">
      <formula>$C$118="Eye irrit. 2a: H319 Causes serious eye irritation"</formula>
    </cfRule>
    <cfRule type="expression" dxfId="27" priority="380">
      <formula>$C$116="Skin Irrit. 2: H315 Causes skin irritation"</formula>
    </cfRule>
    <cfRule type="expression" dxfId="26" priority="381">
      <formula>$C$116="Not irritating according to testing"</formula>
    </cfRule>
    <cfRule type="expression" dxfId="25" priority="382">
      <formula>$C$120="Not irritating according to testing"</formula>
    </cfRule>
    <cfRule type="expression" dxfId="24" priority="383">
      <formula>$C$118="Not irritating according to testing"</formula>
    </cfRule>
  </conditionalFormatting>
  <conditionalFormatting sqref="I116:I123">
    <cfRule type="expression" dxfId="23" priority="368">
      <formula>AND(ISNUMBER($C$121),$B$121="No studies available: pH =",OR($C$121&lt;=2,$C$121&gt;=11.5))</formula>
    </cfRule>
  </conditionalFormatting>
  <conditionalFormatting sqref="B196">
    <cfRule type="expression" dxfId="22" priority="76">
      <formula>$B$121="No studies available: pH ="</formula>
    </cfRule>
  </conditionalFormatting>
  <conditionalFormatting sqref="J182:J183 J185:J193">
    <cfRule type="expression" dxfId="21" priority="23">
      <formula>#REF!="Manually set to: Grey"</formula>
    </cfRule>
    <cfRule type="expression" dxfId="20" priority="24">
      <formula>#REF!="Manually set to: Red"</formula>
    </cfRule>
    <cfRule type="expression" dxfId="19" priority="25">
      <formula>#REF!="Manually set to: Yellow"</formula>
    </cfRule>
    <cfRule type="expression" dxfId="18" priority="26">
      <formula>#REF!="Manually set to: Green"</formula>
    </cfRule>
  </conditionalFormatting>
  <conditionalFormatting sqref="I182:I183">
    <cfRule type="expression" dxfId="17" priority="19">
      <formula>#REF!="Manually set to: Grey"</formula>
    </cfRule>
    <cfRule type="expression" dxfId="16" priority="20">
      <formula>#REF!="Manually set to: Green"</formula>
    </cfRule>
    <cfRule type="expression" dxfId="15" priority="21">
      <formula>#REF!="Manually set to: Yellow"</formula>
    </cfRule>
    <cfRule type="expression" dxfId="14" priority="22">
      <formula>#REF!="Manually set to: Red"</formula>
    </cfRule>
  </conditionalFormatting>
  <conditionalFormatting sqref="I185:I193">
    <cfRule type="expression" dxfId="13" priority="399">
      <formula>#REF!="Manually set to: Purple"</formula>
    </cfRule>
    <cfRule type="expression" dxfId="12" priority="400">
      <formula>#REF!="Manually set to: Grey"</formula>
    </cfRule>
    <cfRule type="expression" dxfId="11" priority="401">
      <formula>#REF!="Manually set to: Green"</formula>
    </cfRule>
    <cfRule type="expression" dxfId="10" priority="402">
      <formula>#REF!="Manually set to: Yellow"</formula>
    </cfRule>
    <cfRule type="expression" dxfId="9" priority="403">
      <formula>#REF!="Manually set to: Red"</formula>
    </cfRule>
    <cfRule type="expression" dxfId="8" priority="404" stopIfTrue="1">
      <formula>AND(#REF!="% DOC biodegradation after 28 days:",#REF!&lt;20,ISNUMBER(#REF!))</formula>
    </cfRule>
    <cfRule type="expression" dxfId="7" priority="405">
      <formula>AND(#REF!="% ThOD biodegradation after 28 days:",#REF!&lt;20,ISNUMBER(#REF!))</formula>
    </cfRule>
    <cfRule type="expression" dxfId="6" priority="406">
      <formula>#REF!="Substance is inherently biodegradable"</formula>
    </cfRule>
    <cfRule type="expression" dxfId="5" priority="407">
      <formula>AND(#REF!="% ThOD biodegradation after 28 days:",#REF!&lt;60,#REF!&gt;=20,ISNUMBER(#REF!))</formula>
    </cfRule>
    <cfRule type="expression" dxfId="4" priority="408">
      <formula>AND(#REF!="% DOC biodegradation after 28 days:",#REF!&lt;70,#REF!&gt;=20,ISNUMBER(#REF!))</formula>
    </cfRule>
    <cfRule type="expression" dxfId="3" priority="409">
      <formula>AND(#REF!="% ThOD biodegradation after 28 days:",#REF!&gt;=60,ISNUMBER(#REF!))</formula>
    </cfRule>
    <cfRule type="expression" dxfId="2" priority="410">
      <formula>AND(#REF!="% DOC biodegradation after 28 days:",#REF!&gt;=70,ISNUMBER(#REF!))</formula>
    </cfRule>
  </conditionalFormatting>
  <conditionalFormatting sqref="E196">
    <cfRule type="expression" dxfId="1" priority="2">
      <formula>$B$121="No studies available: pH ="</formula>
    </cfRule>
  </conditionalFormatting>
  <conditionalFormatting sqref="B195">
    <cfRule type="expression" dxfId="0" priority="1">
      <formula>$B$121="No studies available: pH ="</formula>
    </cfRule>
  </conditionalFormatting>
  <dataValidations count="31">
    <dataValidation type="list" allowBlank="1" showInputMessage="1" sqref="C54:E58" xr:uid="{41CEA983-C285-A743-9241-8C2004FAE2AE}">
      <formula1>"In vitro bact: OECD 471 (Ames), In vitro mam: OECD 476, In vitro mam: OECD 490, In vivo mam: OECD 488, In vivo mam: OECD 486, In vivo mam: OECD 489,No data"</formula1>
    </dataValidation>
    <dataValidation type="list" allowBlank="1" showInputMessage="1" sqref="C39:F41" xr:uid="{0128C275-9645-3B45-9DCF-F32F17D06562}">
      <formula1>"Not listed,Carc. 1A: H350: May cause cancer,Carc. 1B: H350: May cause cancer,Carc. 2: H351: Suspected of causing cancer,MAK III 1,MAK III 2,MAK III 3B,MAK III 3A,MAK III 4,MAK III 5,IARC 1,IARC 2A,IARC 2B,IARC 3,IARC 4,TLV A1,TLV A2,TLV A3,TLV A4,TLV A5"</formula1>
    </dataValidation>
    <dataValidation type="list" allowBlank="1" showInputMessage="1" sqref="F54:F58" xr:uid="{37B0EEB5-78EE-064F-A6D6-35F5D3B7E213}">
      <formula1>"Positive,Negative"</formula1>
    </dataValidation>
    <dataValidation type="list" allowBlank="1" showInputMessage="1" showErrorMessage="1" sqref="B69 B76" xr:uid="{02318995-7B87-AE41-8DBC-7B25534F097E}">
      <formula1>"Oral NOAEL =,Inhalation NOAEL ="</formula1>
    </dataValidation>
    <dataValidation type="list" allowBlank="1" showInputMessage="1" showErrorMessage="1" sqref="C52:C53 D52:F52" xr:uid="{E9BD86D9-1B70-2E4B-B582-0EBE4305C3BE}">
      <formula1>"Muta. 1A: H340: May cause genetic defects,Muta. 1B: H340: May cause genetic defects,Muta. 2: H341: Suspected of causing genetic defects,MAK IX 1,MAK IX 2,MAK IX 3A, MAK IX 3B, Not listed"</formula1>
    </dataValidation>
    <dataValidation type="list" allowBlank="1" showInputMessage="1" showErrorMessage="1" sqref="I47:J50 J67:J68 I81:J87 J74:J75 J89:J90 J109 I52:J53 J125:J127 I39:J45 I208:J213 I215:J216 I67:I72 I74:I79 I89:I95 I165:J166 I109:I114 I140:I141 I125:I131 I97:J97 I116:J117 I155:J156 I145:J146 J217 J195:J196 J140:J142 I20:J33 I175:J180 I182:J183 J185:J193" xr:uid="{11A8348E-6BEB-2643-A99A-688BA23360B2}">
      <formula1>"Manually set to: Green,Manually set to: Yellow,Manually set to: Red,Manually set to: Grey"</formula1>
    </dataValidation>
    <dataValidation type="list" allowBlank="1" showInputMessage="1" showErrorMessage="1" sqref="B99:B101" xr:uid="{FC6BC00A-44DA-1442-B0F0-881E6CF2A7AC}">
      <formula1>"Acute: LC50 (gas) =,Acute: LC50 (vapor) =,Acute: LC50 (dust/mist/aerosol) ="</formula1>
    </dataValidation>
    <dataValidation type="list" allowBlank="1" showInputMessage="1" showErrorMessage="1" sqref="B102:B104" xr:uid="{816F9E3D-CB0D-3949-89B1-72D13739A566}">
      <formula1>"Chronic: LOAEL (gas) =,Chronic: LOAEL (vapor) =,Chronic: LOAEL (dust/mist/aerosol) ="</formula1>
    </dataValidation>
    <dataValidation type="list" allowBlank="1" showInputMessage="1" showErrorMessage="1" sqref="I195:I196 I185:I193" xr:uid="{2E4853EA-AE4A-7C49-BB61-82EA666C032E}">
      <formula1>"Manually set to: Green,Manually set to: Yellow,Manually set to: Red,Manually set to: Grey,Manually set to: Purple"</formula1>
    </dataValidation>
    <dataValidation type="list" allowBlank="1" showInputMessage="1" showErrorMessage="1" sqref="C74:C75" xr:uid="{402CF291-9853-5148-AAF1-4CB6A12C1F37}">
      <formula1>"Not listed,Repr. 1A: H360: May damage fertility or the unborn child,Repr. 1B: H360: May damage fertility or the unborn child, Repr. 2: H361: Suspected of damaging fertility or the unborn child,MAK A,MAK B,MAK C"</formula1>
    </dataValidation>
    <dataValidation type="list" allowBlank="1" showInputMessage="1" showErrorMessage="1" sqref="C91" xr:uid="{5519863E-CEC3-9E45-AD3D-1157DC8CB94A}">
      <formula1>"/,STOT SE 1: H370: Causes damage to organs via oral exposure,STOT SE 2: H371: May cause damage to organs via oral exposure,STOT RE 1: H372: Causes damage via repeated oral exposure,STOT RE 2: H373: May cause damage via repeated oral exposure"</formula1>
    </dataValidation>
    <dataValidation type="list" allowBlank="1" showInputMessage="1" showErrorMessage="1" sqref="C89" xr:uid="{987246DD-040C-F046-AFA3-8FB4BC80F578}">
      <formula1>"Not classified, Acute Tox. 1: H300: Fatal if swallowed,Acute Tox. 2: H300: Fatal if swallowed,Acute Tox. 3: H301: Toxic if swallowed,Acute Tox. 4: H302: Harmful if swallowed,Asp. Tox. 1: H304: May be fatal if swallowed and enters airways"</formula1>
    </dataValidation>
    <dataValidation type="list" allowBlank="1" showInputMessage="1" showErrorMessage="1" sqref="C109" xr:uid="{B25F4D7F-7071-8940-9CBE-E10C64996019}">
      <formula1>"Not classified,Acute Tox. 1: H310: Fatal in contact with skin,Acute Tox. 2: H310: Fatal in contact with skin,Acute Tox. 3: H311: Toxic in contact with skin,Acute Tox. 4: H312: Harmful in contact with skin"</formula1>
    </dataValidation>
    <dataValidation type="list" allowBlank="1" showInputMessage="1" showErrorMessage="1" sqref="C110" xr:uid="{83C90EBD-1391-5448-8B8D-E18069E12BC3}">
      <formula1>"/,STOT SE 1: H370: Causes damage to organs via dermal exposure,STOT SE 2: H371: May cause damage to organs via dermal exposure,STOT RE 1: H372: Causes damage via repeated dermal exposure,STOT RE 2: H373: May cause damage via repeated dermal exposure"</formula1>
    </dataValidation>
    <dataValidation type="list" allowBlank="1" showInputMessage="1" showErrorMessage="1" sqref="C116:F117" xr:uid="{AD8EB196-9AA5-2E4F-BD9A-763928284AFE}">
      <formula1>"Skin Corr. 1: H314 Causes severe skin burns and eye damage, Skin Irrit. 2: H315 Causes skin irritation, Not irritating according to testing,Skin irritating according to testing,Skin corrosive according to testing,No data"</formula1>
    </dataValidation>
    <dataValidation type="list" allowBlank="1" showInputMessage="1" showErrorMessage="1" sqref="C97" xr:uid="{8B7EC2E5-4206-D749-B712-B1C0E0B0094A}">
      <formula1>"Not classified,Acute Tox. 1: H330: Fatal if inhaled,Acute Tox. 2: H330: Fatal if inhaled,Acute Tox. 3: H331: Toxic if inhaled,Acute Tox. 4: H332: Harmful if inhaled"</formula1>
    </dataValidation>
    <dataValidation type="list" allowBlank="1" showInputMessage="1" showErrorMessage="1" sqref="C98" xr:uid="{2AB0F62C-B96A-C749-A3BE-65857A517990}">
      <formula1>"/,STOT SE 1: H370: Damages organs via inhal. exp.,STOT SE 2: H371: May damage organs via inhal. exp.,STOT RE 1: H372: Damages organs via repeated inhal. exp.,STOT RE 2: H373: May damage organs via repeated inhal. exp.,STOT SE 3: H336: May cause drowsiness"</formula1>
    </dataValidation>
    <dataValidation type="list" allowBlank="1" showInputMessage="1" showErrorMessage="1" sqref="C145:F146 C155:F156 C165:F166" xr:uid="{28F612FC-DEA9-D44A-9C4C-2F9750491F6A}">
      <formula1>"Not Classified,Aqua. Acute 1: H400,Aqua. Acute 2: H401,Aqua. Acute 3: H402,Aqua. Chronic 1: H410,Aqua. Chronic 2: H411,Aqua. Chronic 3: H412,Aqua. Chronic 4: H413"</formula1>
    </dataValidation>
    <dataValidation type="list" allowBlank="1" showInputMessage="1" sqref="C118:F119" xr:uid="{1F2F4111-068F-2442-BC5F-9D30934B1290}">
      <formula1>"Eye Dam. 1: H318 Causes serious eye damage,Eye irrit. 2a: H319 Causes serious eye irritation,Eye irrit. 2b: H320 Causes eye irritation,Not irritating according to testing,Eye irritating according to testing,Eye damaging according to testing,No data"</formula1>
    </dataValidation>
    <dataValidation type="list" allowBlank="1" showInputMessage="1" showErrorMessage="1" sqref="E120:F122 C120:D121" xr:uid="{2EAE8F16-B4D2-A840-A97F-198F04EA252E}">
      <formula1>"STOT SE 3: H335 May cause respiratory tract irritation, Not irritating according to testing, Irritating according to testing, Corrosive according to testing, No data"</formula1>
    </dataValidation>
    <dataValidation type="list" allowBlank="1" showInputMessage="1" showErrorMessage="1" sqref="C185:C187 B193 B188:B191 C189:C191" xr:uid="{70090D46-918C-A541-BF5D-BDBF86619E4C}">
      <formula1>"% DOC biodegradation after 28 days:,% ThOD biodegradation after 28 days:,Substance is inherently biodegradable,Degradation halflife time in air:,Degradation halflife time in water, soil or sediment:,QSAR prediction:"</formula1>
    </dataValidation>
    <dataValidation type="list" allowBlank="1" showInputMessage="1" showErrorMessage="1" sqref="C125:F127" xr:uid="{1E0A9E6E-7902-5740-813E-0DE48FD14F6B}">
      <formula1>"Skin Sens. 1: H317 May cause an allergic skin reaction,MAK Sh,Not sensitzing according to testing,Sensitizing according to testing,No data"</formula1>
    </dataValidation>
    <dataValidation type="list" allowBlank="1" showInputMessage="1" showErrorMessage="1" sqref="C128:F130" xr:uid="{0C8FD874-7A63-C544-9821-E7922776580E}">
      <formula1>" Resp. Sens. 1: H334 May cause allergy or asthma symptoms or breathing difficulties if inhaled, MAK Sa, Not sensitzing according to testing, Sensitizing according to testing, No data"</formula1>
    </dataValidation>
    <dataValidation type="list" allowBlank="1" showInputMessage="1" showErrorMessage="1" sqref="B195:B196" xr:uid="{F044FA91-0397-4D41-805C-8364D9E66AEA}">
      <formula1>"BCF/BAF (experimental):,BCF/BAF (QSAR):"</formula1>
    </dataValidation>
    <dataValidation type="list" allowBlank="1" showInputMessage="1" showErrorMessage="1" sqref="C67:F68" xr:uid="{CCFF5226-C14A-B643-82CE-5FF370D12DBB}">
      <formula1>"Not listed,Repr. 1A: H360: May damage fertility or the unborn child,Repr. 1B: H360: May damage fertility or the unborn child, Repr. 2: H361: Suspected of damaging fertility or the unborn child,MAK A,MAK B,MAK C,H362: Reproductive toxic through lactation"</formula1>
    </dataValidation>
    <dataValidation type="list" allowBlank="1" showInputMessage="1" sqref="C59:E63" xr:uid="{5035DD8E-7BB2-1949-B6F3-99D88A0753ED}">
      <formula1>"In vitro mam: OECD 473,In vitro mam: OECD 487,In vivo mam: OECD 478,In vivo mam: OECD 483,In vivo mam: OECD 485,In vivo mam: OECD 474,In vivo mam: OECD 475,In vivo mam: OECD 488,In vivo mam: OECD 486,In vivo mam: OECD 489,No data"</formula1>
    </dataValidation>
    <dataValidation type="list" allowBlank="1" showInputMessage="1" showErrorMessage="1" sqref="F59:F63" xr:uid="{66846584-9C99-4E44-82FC-CE9018FEF3D2}">
      <formula1>"Positive,Negative"</formula1>
    </dataValidation>
    <dataValidation type="list" allowBlank="1" showInputMessage="1" showErrorMessage="1" sqref="C48:F48" xr:uid="{CA1557DE-C149-6C44-A08E-E76D99B90E4B}">
      <formula1>"Sufficient evidence of endorcrine effects in humans, Evidence of endocrine effects in animals/micro organisms, Endocrine activity observed but no endocrine disruption"</formula1>
    </dataValidation>
    <dataValidation type="list" allowBlank="1" showInputMessage="1" showErrorMessage="1" sqref="C83" xr:uid="{B90F0263-1A42-D84A-9BC5-FACE30DE11C7}">
      <formula1>"Yes,No"</formula1>
    </dataValidation>
    <dataValidation type="list" allowBlank="1" showInputMessage="1" showErrorMessage="1" sqref="C24" xr:uid="{253C03FB-807B-6E46-98A7-2305632DBAA1}">
      <formula1>"No,Dyestuff,Pigment,Azo Group,Azo Group with Reductively Cleavable Aromatic Amine"</formula1>
    </dataValidation>
    <dataValidation type="list" allowBlank="1" showInputMessage="1" showErrorMessage="1" sqref="C90" xr:uid="{F64E9335-ED83-7D43-9788-7188F7E508AB}">
      <formula1>"Not classified, Asp. Tox. 1: H304: May be fatal if swallowed and enters airways"</formula1>
    </dataValidation>
  </dataValidations>
  <hyperlinks>
    <hyperlink ref="B230" r:id="rId1" xr:uid="{270D59FF-F1F2-1346-ACBB-FBE06F84C5CC}"/>
    <hyperlink ref="B231" r:id="rId2" xr:uid="{25473206-1E96-154E-9A3D-6E3250FB0DC4}"/>
    <hyperlink ref="B232" r:id="rId3" xr:uid="{0A2CFB1D-65F3-EE4A-A939-8C7DF919983D}"/>
    <hyperlink ref="B233" r:id="rId4" xr:uid="{1CCDBB82-0672-CE44-B1AA-421868F8ADBF}"/>
    <hyperlink ref="B235" r:id="rId5" xr:uid="{CA2AD8D7-F03B-7C47-A8E3-D59050F77BEE}"/>
    <hyperlink ref="B234" r:id="rId6" xr:uid="{49646F5C-AC13-634F-8BE9-76891B474523}"/>
    <hyperlink ref="B236" r:id="rId7" xr:uid="{8EBD3792-4181-F44F-AA8E-E97604E827BC}"/>
    <hyperlink ref="B237" r:id="rId8" xr:uid="{A7FE3A44-7C8E-F740-95C5-D29CA72DB457}"/>
    <hyperlink ref="B238" r:id="rId9" xr:uid="{FCEBF000-7FC5-5B49-8C25-B630C0BFA7E7}"/>
    <hyperlink ref="B239" r:id="rId10" xr:uid="{0808563B-C2C3-BB49-B2AA-2EC11FD83068}"/>
    <hyperlink ref="B240" r:id="rId11" xr:uid="{82CFC6BE-9B92-1D41-98B2-7E2A8C3192D5}"/>
    <hyperlink ref="B241" r:id="rId12" xr:uid="{06ED1085-BF0D-EF4B-9288-413E1766B010}"/>
    <hyperlink ref="B242" r:id="rId13" xr:uid="{CAEA2353-BEFF-0341-AFA0-0B6F7D8E95C1}"/>
    <hyperlink ref="B243" r:id="rId14" xr:uid="{F1ED3CBE-E87B-0145-8EC4-C66B84E9B597}"/>
    <hyperlink ref="B244" r:id="rId15" xr:uid="{5FF462DB-8590-1443-B674-B378D5FD06C6}"/>
    <hyperlink ref="B245" r:id="rId16" xr:uid="{F1E6430A-6D4B-E243-BF56-894E75D0CC4D}"/>
    <hyperlink ref="B246" r:id="rId17" xr:uid="{11345F97-7E17-EE4E-8CAE-8493128F31D8}"/>
    <hyperlink ref="B247" r:id="rId18" xr:uid="{69E25334-425F-0940-A279-D694CD1D9944}"/>
    <hyperlink ref="B248" r:id="rId19" xr:uid="{8B288AD7-6600-EA42-B05B-8C5F8FFDB8AF}"/>
    <hyperlink ref="B249" r:id="rId20" xr:uid="{050BA8CB-F4C4-6646-B9FC-51A9B4365B18}"/>
    <hyperlink ref="B250" r:id="rId21" xr:uid="{BB7E50EF-BF74-9D40-9080-C9159201E167}"/>
    <hyperlink ref="B253" r:id="rId22" xr:uid="{B6AC8173-0011-8B4F-B32F-C3D69C5728FC}"/>
  </hyperlinks>
  <pageMargins left="0.36000000000000004" right="0.36000000000000004" top="0.6100000000000001" bottom="0.6100000000000001" header="0.30000000000000004" footer="0.30000000000000004"/>
  <pageSetup paperSize="9" scale="58" orientation="portrait" horizontalDpi="4294967292" verticalDpi="4294967292"/>
  <headerFooter>
    <oddFooter>&amp;L&amp;"Calibri,Regular"&amp;K000000Chemical profiling sheet - 2014</oddFooter>
  </headerFooter>
  <drawing r:id="rId23"/>
  <legacyDrawing r:id="rId2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25" name="Button 1">
              <controlPr defaultSize="0" print="0" autoFill="0" autoPict="0" macro="[0]!DoFormatting">
                <anchor moveWithCells="1" sizeWithCells="1">
                  <from>
                    <xdr:col>0</xdr:col>
                    <xdr:colOff>342900</xdr:colOff>
                    <xdr:row>63</xdr:row>
                    <xdr:rowOff>0</xdr:rowOff>
                  </from>
                  <to>
                    <xdr:col>0</xdr:col>
                    <xdr:colOff>1866900</xdr:colOff>
                    <xdr:row>63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26" name="Button 2">
              <controlPr defaultSize="0" print="0" autoFill="0" autoPict="0" macro="[0]!ExportC2C">
                <anchor moveWithCells="1" sizeWithCells="1">
                  <from>
                    <xdr:col>7</xdr:col>
                    <xdr:colOff>889000</xdr:colOff>
                    <xdr:row>14</xdr:row>
                    <xdr:rowOff>114300</xdr:rowOff>
                  </from>
                  <to>
                    <xdr:col>9</xdr:col>
                    <xdr:colOff>76200</xdr:colOff>
                    <xdr:row>17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86BCCB-9007-684B-A0E7-59E6F252BCBB}">
  <sheetPr codeName="Sheet3"/>
  <dimension ref="A1:E11"/>
  <sheetViews>
    <sheetView workbookViewId="0">
      <selection activeCell="A20" sqref="A20"/>
    </sheetView>
  </sheetViews>
  <sheetFormatPr baseColWidth="10" defaultColWidth="11" defaultRowHeight="16" x14ac:dyDescent="0.2"/>
  <cols>
    <col min="1" max="1" width="22.6640625" customWidth="1"/>
  </cols>
  <sheetData>
    <row r="1" spans="1:5" x14ac:dyDescent="0.2">
      <c r="A1" t="s">
        <v>161</v>
      </c>
      <c r="D1" t="s">
        <v>162</v>
      </c>
    </row>
    <row r="2" spans="1:5" x14ac:dyDescent="0.2">
      <c r="A2" t="s">
        <v>163</v>
      </c>
    </row>
    <row r="3" spans="1:5" x14ac:dyDescent="0.2">
      <c r="A3" s="57" t="s">
        <v>28</v>
      </c>
    </row>
    <row r="4" spans="1:5" x14ac:dyDescent="0.2">
      <c r="A4" s="57" t="s">
        <v>164</v>
      </c>
    </row>
    <row r="5" spans="1:5" x14ac:dyDescent="0.2">
      <c r="A5" s="57" t="s">
        <v>165</v>
      </c>
    </row>
    <row r="8" spans="1:5" x14ac:dyDescent="0.2">
      <c r="A8" s="16" t="s">
        <v>166</v>
      </c>
      <c r="B8" s="90" t="s">
        <v>167</v>
      </c>
      <c r="C8" s="91"/>
      <c r="D8" s="91"/>
      <c r="E8" s="92"/>
    </row>
    <row r="9" spans="1:5" x14ac:dyDescent="0.2">
      <c r="A9" s="16" t="s">
        <v>29</v>
      </c>
      <c r="B9" s="90" t="s">
        <v>168</v>
      </c>
      <c r="C9" s="91"/>
      <c r="D9" s="91"/>
      <c r="E9" s="46"/>
    </row>
    <row r="10" spans="1:5" x14ac:dyDescent="0.2">
      <c r="A10" s="16" t="s">
        <v>30</v>
      </c>
      <c r="B10" s="90" t="s">
        <v>168</v>
      </c>
      <c r="C10" s="91"/>
      <c r="D10" s="92"/>
      <c r="E10" s="46"/>
    </row>
    <row r="11" spans="1:5" x14ac:dyDescent="0.2">
      <c r="A11" s="16" t="s">
        <v>165</v>
      </c>
      <c r="B11" s="90" t="s">
        <v>169</v>
      </c>
      <c r="C11" s="91"/>
      <c r="D11" s="92"/>
      <c r="E11" s="46"/>
    </row>
  </sheetData>
  <sheetProtection algorithmName="SHA-512" hashValue="Nhk5g2NGnXBf/qmD5F/dnc/+q6DGVf5Ugnu4V+RWhjhCJToVW2G0nAcx44Ch53Nb0of2qw30DKtcxj5UecoutQ==" saltValue="H8KiJdHsusYmweCHDTuAqw==" spinCount="100000" sheet="1" objects="1" scenarios="1"/>
  <mergeCells count="4">
    <mergeCell ref="B10:D10"/>
    <mergeCell ref="B11:D11"/>
    <mergeCell ref="B8:E8"/>
    <mergeCell ref="B9:D9"/>
  </mergeCells>
  <dataValidations count="6">
    <dataValidation type="list" allowBlank="1" showInputMessage="1" showErrorMessage="1" sqref="B8:E8" xr:uid="{921D358B-477B-8549-B72F-CB93DCC0E933}">
      <formula1>"Muta. 1A: H340: May cause genetic defects,Muta. 1B: H340: May cause genetic defects,Muta. 2: H341: Suspected of causing genetic defects,MAK IX 1,MAK IX 2,MAK IX 3A, MAK IX 3B, Not listed"</formula1>
    </dataValidation>
    <dataValidation type="list" allowBlank="1" showInputMessage="1" sqref="E11" xr:uid="{032CFF03-7CCD-844B-AA02-16BD39E875A5}">
      <formula1>"Positive,Negative"</formula1>
    </dataValidation>
    <dataValidation type="list" allowBlank="1" showInputMessage="1" showErrorMessage="1" sqref="E9:E10" xr:uid="{37998411-2D6A-5049-840B-0DCD5D1ED818}">
      <formula1>"Positive,Negative"</formula1>
    </dataValidation>
    <dataValidation allowBlank="1" showInputMessage="1" sqref="B11" xr:uid="{8EA87C4A-3FBE-234F-88AD-2F4FCD86FA69}"/>
    <dataValidation type="list" allowBlank="1" showInputMessage="1" sqref="B10:D10" xr:uid="{319971FE-66FF-4D4C-9DBA-C7CC501DE43E}">
      <formula1>"In vitro mam: OECD 473,In vitro mam: OECD 487,In vivo mam: OECD 478,In vivo mam: OECD 483,In vivo mam: OECD 485,In vivo mam: OECD 474,In vivo mam: OECD 475,In vivo mam: OECD 488,In vivo mam: OECD 486,In vivo mam: OECD 489,No data"</formula1>
    </dataValidation>
    <dataValidation type="list" allowBlank="1" showInputMessage="1" sqref="B9:D9" xr:uid="{2E8EE3EC-7ABC-DC46-B6F1-65F96D171BD5}">
      <formula1>"In vitro bact: OECD 471 (Ames), In vitro mam: OECD 476, In vitro mam: OECD 490, In vivo mam: OECD 488, In vivo mam: OECD 486, In vivo mam: OECD 489,No data"</formula1>
    </dataValidation>
  </dataValidations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2E59A15F3FF6F4AA788B1D026253896" ma:contentTypeVersion="11" ma:contentTypeDescription="Een nieuw document maken." ma:contentTypeScope="" ma:versionID="dfd21d6aa7a97db07695c3b9b9620907">
  <xsd:schema xmlns:xsd="http://www.w3.org/2001/XMLSchema" xmlns:xs="http://www.w3.org/2001/XMLSchema" xmlns:p="http://schemas.microsoft.com/office/2006/metadata/properties" xmlns:ns2="8806cc8d-b20d-4a32-8812-b640ffe75556" xmlns:ns3="868537ae-8c79-4ca9-a9fd-dd33e3ab8b42" targetNamespace="http://schemas.microsoft.com/office/2006/metadata/properties" ma:root="true" ma:fieldsID="53aa22768c5d12d45596e29abf2731ba" ns2:_="" ns3:_="">
    <xsd:import namespace="8806cc8d-b20d-4a32-8812-b640ffe75556"/>
    <xsd:import namespace="868537ae-8c79-4ca9-a9fd-dd33e3ab8b42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ObjectDetectorVersions" minOccurs="0"/>
                <xsd:element ref="ns2:MediaServiceSearchProperties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806cc8d-b20d-4a32-8812-b640ffe755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Afbeeldingtags" ma:readOnly="false" ma:fieldId="{5cf76f15-5ced-4ddc-b409-7134ff3c332f}" ma:taxonomyMulti="true" ma:sspId="0d68d24d-f408-4014-b807-417539eb19e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16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7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8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68537ae-8c79-4ca9-a9fd-dd33e3ab8b42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ce93a948-ec0f-4333-a9b4-082ac57fe3d3}" ma:internalName="TaxCatchAll" ma:showField="CatchAllData" ma:web="868537ae-8c79-4ca9-a9fd-dd33e3ab8b4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8806cc8d-b20d-4a32-8812-b640ffe75556">
      <Terms xmlns="http://schemas.microsoft.com/office/infopath/2007/PartnerControls"/>
    </lcf76f155ced4ddcb4097134ff3c332f>
    <TaxCatchAll xmlns="868537ae-8c79-4ca9-a9fd-dd33e3ab8b42" xsi:nil="true"/>
  </documentManagement>
</p:properties>
</file>

<file path=customXml/itemProps1.xml><?xml version="1.0" encoding="utf-8"?>
<ds:datastoreItem xmlns:ds="http://schemas.openxmlformats.org/officeDocument/2006/customXml" ds:itemID="{FAEFB56E-C525-45D8-AAEA-2A3FDA0E747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47FBCEC-4179-48EC-9638-C94A7CEEB55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806cc8d-b20d-4a32-8812-b640ffe75556"/>
    <ds:schemaRef ds:uri="868537ae-8c79-4ca9-a9fd-dd33e3ab8b4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23BA01D-5631-4217-8583-116559AD26B0}">
  <ds:schemaRefs>
    <ds:schemaRef ds:uri="http://schemas.microsoft.com/office/2006/documentManagement/types"/>
    <ds:schemaRef ds:uri="http://schemas.openxmlformats.org/package/2006/metadata/core-properties"/>
    <ds:schemaRef ds:uri="http://schemas.microsoft.com/office/2006/metadata/properties"/>
    <ds:schemaRef ds:uri="http://www.w3.org/XML/1998/namespace"/>
    <ds:schemaRef ds:uri="http://purl.org/dc/elements/1.1/"/>
    <ds:schemaRef ds:uri="http://schemas.microsoft.com/office/infopath/2007/PartnerControls"/>
    <ds:schemaRef ds:uri="http://purl.org/dc/terms/"/>
    <ds:schemaRef ds:uri="868537ae-8c79-4ca9-a9fd-dd33e3ab8b42"/>
    <ds:schemaRef ds:uri="8806cc8d-b20d-4a32-8812-b640ffe75556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C2Coverview</vt:lpstr>
      <vt:lpstr>SourceText</vt:lpstr>
      <vt:lpstr>'C2Coverview'!Print_Area</vt:lpstr>
    </vt:vector>
  </TitlesOfParts>
  <Manager/>
  <Company>Arche Consulting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patrick.vansprang</dc:creator>
  <cp:keywords/>
  <dc:description/>
  <cp:lastModifiedBy>Arnoud Dupon</cp:lastModifiedBy>
  <cp:revision/>
  <dcterms:created xsi:type="dcterms:W3CDTF">2014-01-09T14:40:33Z</dcterms:created>
  <dcterms:modified xsi:type="dcterms:W3CDTF">2025-09-03T16:20:37Z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0x01010092E59A15F3FF6F4AA788B1D026253896</vt:lpwstr>
  </property>
  <property fmtid="{D5CDD505-2E9C-101B-9397-08002B2CF9AE}" pid="3" name="MediaServiceImageTags">
    <vt:lpwstr/>
  </property>
</Properties>
</file>