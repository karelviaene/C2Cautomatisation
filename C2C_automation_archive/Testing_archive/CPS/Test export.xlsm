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36760" yWindow="1280" windowWidth="30240" windowHeight="17180" tabRatio="500" firstSheet="0" activeTab="0" autoFilterDateGrouping="1"/>
  </bookViews>
  <sheets>
    <sheet name="C2Coverview" sheetId="1" state="visible" r:id="rId1"/>
    <sheet name="SourceText" sheetId="2" state="visible" r:id="rId2"/>
  </sheets>
  <definedNames>
    <definedName name="Apparel">#REF!</definedName>
    <definedName name="Building_Materials">#REF!</definedName>
    <definedName name="CyclingScenario">#REF!</definedName>
    <definedName name="Home___Office_Supply">#REF!</definedName>
    <definedName name="Home_and_Office_Supply">#REF!</definedName>
    <definedName name="Interior_Design___Furniture">#REF!</definedName>
    <definedName name="Interior_Design_and_Furniture">#REF!</definedName>
    <definedName name="Liquid_Formulations">#REF!</definedName>
    <definedName name="Other">#REF!</definedName>
    <definedName name="Packaging___Single_Use_Products">#REF!</definedName>
    <definedName name="Packaging_and_Single_Use_Products">#REF!</definedName>
    <definedName name="Please_select">#REF!</definedName>
    <definedName name="Product_Category">#REF!</definedName>
    <definedName name="Product_or_Application">#REF!</definedName>
    <definedName name="Recyclable">#REF!</definedName>
    <definedName name="TN">#REF!</definedName>
    <definedName name="Yes">#REF!</definedName>
    <definedName name="_xlnm.Print_Area" localSheetId="0">'C2Coverview'!$A$1:$I$216</definedName>
  </definedNames>
  <calcPr calcId="191028" fullCalcOnLoad="1"/>
</workbook>
</file>

<file path=xl/styles.xml><?xml version="1.0" encoding="utf-8"?>
<styleSheet xmlns="http://schemas.openxmlformats.org/spreadsheetml/2006/main">
  <numFmts count="1">
    <numFmt numFmtId="164" formatCode="[$-409]d\-mmm\-yy;@"/>
  </numFmts>
  <fonts count="10">
    <font>
      <name val="Calibri"/>
      <family val="2"/>
      <color theme="1"/>
      <sz val="12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0"/>
      <sz val="12"/>
      <u val="single"/>
      <scheme val="minor"/>
    </font>
    <font>
      <name val="Calibri"/>
      <family val="2"/>
      <color theme="11"/>
      <sz val="12"/>
      <u val="single"/>
      <scheme val="minor"/>
    </font>
    <font>
      <name val="Calibri"/>
      <family val="2"/>
      <color theme="1"/>
      <sz val="12"/>
      <u val="single"/>
      <scheme val="minor"/>
    </font>
    <font>
      <name val="Calibri"/>
      <family val="2"/>
      <sz val="12"/>
      <scheme val="minor"/>
    </font>
    <font>
      <name val="Calibri"/>
      <family val="2"/>
      <strike val="1"/>
      <color theme="1"/>
      <sz val="12"/>
      <scheme val="minor"/>
    </font>
    <font>
      <name val="Calibri"/>
      <family val="2"/>
      <color theme="1"/>
      <sz val="8"/>
      <scheme val="minor"/>
    </font>
    <font>
      <name val="Calibri"/>
      <family val="2"/>
      <color rgb="FF000000"/>
      <sz val="12"/>
    </font>
    <font>
      <name val="Calibri"/>
      <family val="2"/>
      <color rgb="FFFF0000"/>
      <sz val="12"/>
      <scheme val="minor"/>
    </font>
  </fonts>
  <fills count="11">
    <fill>
      <patternFill/>
    </fill>
    <fill>
      <patternFill patternType="gray125"/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8"/>
        <bgColor indexed="64"/>
      </patternFill>
    </fill>
    <fill>
      <patternFill patternType="solid">
        <fgColor rgb="FFF3F7FF"/>
        <bgColor indexed="64"/>
      </patternFill>
    </fill>
    <fill>
      <patternFill patternType="solid">
        <fgColor theme="8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19">
    <xf numFmtId="0" fontId="0" fillId="0" borderId="0" pivotButton="0" quotePrefix="0" xfId="0"/>
    <xf numFmtId="164" fontId="0" fillId="0" borderId="0" applyAlignment="1" pivotButton="0" quotePrefix="0" xfId="0">
      <alignment horizontal="left"/>
    </xf>
    <xf numFmtId="0" fontId="1" fillId="0" borderId="0" pivotButton="0" quotePrefix="0" xfId="0"/>
    <xf numFmtId="0" fontId="4" fillId="0" borderId="0" pivotButton="0" quotePrefix="0" xfId="0"/>
    <xf numFmtId="0" fontId="5" fillId="0" borderId="0" pivotButton="0" quotePrefix="0" xfId="0"/>
    <xf numFmtId="0" fontId="1" fillId="0" borderId="1" pivotButton="0" quotePrefix="0" xfId="0"/>
    <xf numFmtId="0" fontId="1" fillId="0" borderId="8" pivotButton="0" quotePrefix="0" xfId="0"/>
    <xf numFmtId="0" fontId="0" fillId="2" borderId="0" pivotButton="0" quotePrefix="0" xfId="0"/>
    <xf numFmtId="0" fontId="0" fillId="0" borderId="2" pivotButton="0" quotePrefix="0" xfId="0"/>
    <xf numFmtId="0" fontId="0" fillId="0" borderId="4" pivotButton="0" quotePrefix="0" xfId="0"/>
    <xf numFmtId="0" fontId="6" fillId="0" borderId="0" pivotButton="0" quotePrefix="0" xfId="0"/>
    <xf numFmtId="0" fontId="0" fillId="0" borderId="0" pivotButton="0" quotePrefix="1" xfId="0"/>
    <xf numFmtId="0" fontId="0" fillId="3" borderId="0" pivotButton="0" quotePrefix="0" xfId="0"/>
    <xf numFmtId="16" fontId="0" fillId="3" borderId="0" pivotButton="0" quotePrefix="0" xfId="0"/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0" fontId="0" fillId="0" borderId="3" applyAlignment="1" pivotButton="0" quotePrefix="0" xfId="0">
      <alignment horizontal="right"/>
    </xf>
    <xf numFmtId="0" fontId="2" fillId="0" borderId="0" applyAlignment="1" pivotButton="0" quotePrefix="0" xfId="279">
      <alignment horizontal="right"/>
    </xf>
    <xf numFmtId="0" fontId="2" fillId="0" borderId="0" applyAlignment="1" pivotButton="0" quotePrefix="0" xfId="279">
      <alignment horizontal="right"/>
    </xf>
    <xf numFmtId="0" fontId="2" fillId="3" borderId="0" applyAlignment="1" pivotButton="0" quotePrefix="0" xfId="279">
      <alignment horizontal="right"/>
    </xf>
    <xf numFmtId="0" fontId="0" fillId="2" borderId="1" pivotButton="0" quotePrefix="0" xfId="0"/>
    <xf numFmtId="0" fontId="0" fillId="2" borderId="6" applyAlignment="1" pivotButton="0" quotePrefix="0" xfId="0">
      <alignment horizontal="right"/>
    </xf>
    <xf numFmtId="0" fontId="0" fillId="2" borderId="7" pivotButton="0" quotePrefix="0" xfId="0"/>
    <xf numFmtId="0" fontId="0" fillId="2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12" pivotButton="0" quotePrefix="0" xfId="0"/>
    <xf numFmtId="49" fontId="0" fillId="0" borderId="0" pivotButton="0" quotePrefix="0" xfId="0"/>
    <xf numFmtId="0" fontId="0" fillId="2" borderId="0" applyAlignment="1" pivotButton="0" quotePrefix="0" xfId="0">
      <alignment horizontal="right"/>
    </xf>
    <xf numFmtId="0" fontId="0" fillId="2" borderId="7" applyAlignment="1" pivotButton="0" quotePrefix="0" xfId="0">
      <alignment horizontal="right"/>
    </xf>
    <xf numFmtId="0" fontId="0" fillId="0" borderId="12" applyAlignment="1" pivotButton="0" quotePrefix="0" xfId="0">
      <alignment horizontal="right"/>
    </xf>
    <xf numFmtId="0" fontId="0" fillId="0" borderId="11" applyAlignment="1" pivotButton="0" quotePrefix="0" xfId="0">
      <alignment horizontal="right"/>
    </xf>
    <xf numFmtId="0" fontId="0" fillId="5" borderId="9" pivotButton="0" quotePrefix="0" xfId="0"/>
    <xf numFmtId="0" fontId="0" fillId="5" borderId="6" applyAlignment="1" pivotButton="0" quotePrefix="0" xfId="0">
      <alignment horizontal="right"/>
    </xf>
    <xf numFmtId="0" fontId="0" fillId="5" borderId="7" pivotButton="0" quotePrefix="0" xfId="0"/>
    <xf numFmtId="0" fontId="0" fillId="5" borderId="8" pivotButton="0" quotePrefix="0" xfId="0"/>
    <xf numFmtId="0" fontId="0" fillId="5" borderId="1" pivotButton="0" quotePrefix="0" xfId="0"/>
    <xf numFmtId="0" fontId="0" fillId="5" borderId="2" pivotButton="0" quotePrefix="0" xfId="0"/>
    <xf numFmtId="0" fontId="0" fillId="5" borderId="0" pivotButton="0" quotePrefix="0" xfId="0"/>
    <xf numFmtId="0" fontId="0" fillId="5" borderId="4" pivotButton="0" quotePrefix="0" xfId="0"/>
    <xf numFmtId="0" fontId="0" fillId="5" borderId="3" pivotButton="0" quotePrefix="0" xfId="0"/>
    <xf numFmtId="0" fontId="0" fillId="5" borderId="3" applyAlignment="1" pivotButton="0" quotePrefix="0" xfId="0">
      <alignment horizontal="right"/>
    </xf>
    <xf numFmtId="0" fontId="0" fillId="5" borderId="2" applyAlignment="1" pivotButton="0" quotePrefix="0" xfId="0">
      <alignment horizontal="center"/>
    </xf>
    <xf numFmtId="0" fontId="0" fillId="6" borderId="1" pivotButton="0" quotePrefix="0" xfId="0"/>
    <xf numFmtId="0" fontId="7" fillId="5" borderId="2" applyAlignment="1" pivotButton="0" quotePrefix="0" xfId="0">
      <alignment horizontal="center" wrapText="1"/>
    </xf>
    <xf numFmtId="0" fontId="7" fillId="2" borderId="8" applyAlignment="1" pivotButton="0" quotePrefix="0" xfId="0">
      <alignment wrapText="1"/>
    </xf>
    <xf numFmtId="0" fontId="7" fillId="5" borderId="4" applyAlignment="1" pivotButton="0" quotePrefix="0" xfId="0">
      <alignment horizontal="center" wrapText="1"/>
    </xf>
    <xf numFmtId="0" fontId="7" fillId="5" borderId="2" applyAlignment="1" pivotButton="0" quotePrefix="0" xfId="0">
      <alignment wrapText="1"/>
    </xf>
    <xf numFmtId="0" fontId="7" fillId="5" borderId="2" applyAlignment="1" pivotButton="0" quotePrefix="0" xfId="0">
      <alignment horizontal="center"/>
    </xf>
    <xf numFmtId="0" fontId="7" fillId="5" borderId="4" applyAlignment="1" pivotButton="0" quotePrefix="0" xfId="0">
      <alignment horizontal="center"/>
    </xf>
    <xf numFmtId="0" fontId="7" fillId="5" borderId="2" pivotButton="0" quotePrefix="0" xfId="0"/>
    <xf numFmtId="2" fontId="0" fillId="7" borderId="1" pivotButton="0" quotePrefix="0" xfId="0"/>
    <xf numFmtId="0" fontId="0" fillId="7" borderId="1" pivotButton="0" quotePrefix="0" xfId="0"/>
    <xf numFmtId="0" fontId="0" fillId="7" borderId="9" pivotButton="0" quotePrefix="0" xfId="0"/>
    <xf numFmtId="0" fontId="0" fillId="0" borderId="0" applyAlignment="1" pivotButton="0" quotePrefix="0" xfId="0">
      <alignment horizontal="left"/>
    </xf>
    <xf numFmtId="0" fontId="1" fillId="0" borderId="6" applyAlignment="1" pivotButton="0" quotePrefix="0" xfId="0">
      <alignment horizontal="center"/>
    </xf>
    <xf numFmtId="0" fontId="1" fillId="0" borderId="7" applyAlignment="1" pivotButton="0" quotePrefix="0" xfId="0">
      <alignment horizontal="center"/>
    </xf>
    <xf numFmtId="0" fontId="1" fillId="0" borderId="8" applyAlignment="1" pivotButton="0" quotePrefix="0" xfId="0">
      <alignment horizontal="center"/>
    </xf>
    <xf numFmtId="0" fontId="0" fillId="0" borderId="7" pivotButton="0" quotePrefix="0" xfId="0"/>
    <xf numFmtId="0" fontId="7" fillId="0" borderId="7" applyAlignment="1" pivotButton="0" quotePrefix="0" xfId="0">
      <alignment horizontal="center"/>
    </xf>
    <xf numFmtId="0" fontId="1" fillId="8" borderId="13" pivotButton="0" quotePrefix="0" xfId="0"/>
    <xf numFmtId="0" fontId="0" fillId="0" borderId="0" applyAlignment="1" pivotButton="0" quotePrefix="0" xfId="0">
      <alignment horizontal="left" vertical="center"/>
    </xf>
    <xf numFmtId="3" fontId="0" fillId="7" borderId="1" pivotButton="0" quotePrefix="0" xfId="0"/>
    <xf numFmtId="0" fontId="0" fillId="0" borderId="3" applyAlignment="1" pivotButton="0" quotePrefix="0" xfId="0">
      <alignment horizontal="right" wrapText="1"/>
    </xf>
    <xf numFmtId="0" fontId="7" fillId="0" borderId="4" applyAlignment="1" pivotButton="0" quotePrefix="0" xfId="0">
      <alignment horizontal="center"/>
    </xf>
    <xf numFmtId="0" fontId="0" fillId="6" borderId="6" applyAlignment="1" pivotButton="0" quotePrefix="0" xfId="0">
      <alignment horizontal="left"/>
    </xf>
    <xf numFmtId="0" fontId="0" fillId="6" borderId="8" applyAlignment="1" pivotButton="0" quotePrefix="0" xfId="0">
      <alignment horizontal="left"/>
    </xf>
    <xf numFmtId="0" fontId="7" fillId="0" borderId="2" applyAlignment="1" pivotButton="0" quotePrefix="0" xfId="0">
      <alignment horizontal="center" wrapText="1"/>
    </xf>
    <xf numFmtId="0" fontId="7" fillId="0" borderId="2" applyAlignment="1" pivotButton="0" quotePrefix="0" xfId="0">
      <alignment horizontal="center"/>
    </xf>
    <xf numFmtId="0" fontId="0" fillId="6" borderId="7" applyAlignment="1" pivotButton="0" quotePrefix="0" xfId="0">
      <alignment horizontal="left"/>
    </xf>
    <xf numFmtId="0" fontId="0" fillId="6" borderId="1" applyAlignment="1" pivotButton="0" quotePrefix="0" xfId="0">
      <alignment horizontal="left"/>
    </xf>
    <xf numFmtId="0" fontId="0" fillId="0" borderId="3" applyAlignment="1" pivotButton="0" quotePrefix="0" xfId="0">
      <alignment horizontal="left"/>
    </xf>
    <xf numFmtId="0" fontId="0" fillId="5" borderId="3" applyAlignment="1" pivotButton="0" quotePrefix="0" xfId="0">
      <alignment horizontal="left"/>
    </xf>
    <xf numFmtId="0" fontId="7" fillId="4" borderId="4" applyAlignment="1" pivotButton="0" quotePrefix="0" xfId="0">
      <alignment horizontal="center" wrapText="1"/>
    </xf>
    <xf numFmtId="0" fontId="1" fillId="8" borderId="0" pivotButton="0" quotePrefix="0" xfId="0"/>
    <xf numFmtId="0" fontId="0" fillId="0" borderId="0" applyAlignment="1" pivotButton="0" quotePrefix="0" xfId="0">
      <alignment wrapText="1"/>
    </xf>
    <xf numFmtId="0" fontId="7" fillId="9" borderId="2" applyAlignment="1" pivotButton="0" quotePrefix="0" xfId="0">
      <alignment horizontal="center" wrapText="1"/>
    </xf>
    <xf numFmtId="0" fontId="7" fillId="0" borderId="2" applyAlignment="1" pivotButton="0" quotePrefix="0" xfId="0">
      <alignment horizontal="center" wrapText="1"/>
    </xf>
    <xf numFmtId="0" fontId="7" fillId="0" borderId="2" applyAlignment="1" pivotButton="0" quotePrefix="0" xfId="0">
      <alignment horizontal="center"/>
    </xf>
    <xf numFmtId="0" fontId="7" fillId="4" borderId="2" applyAlignment="1" pivotButton="0" quotePrefix="0" xfId="0">
      <alignment horizontal="center" wrapText="1"/>
    </xf>
    <xf numFmtId="0" fontId="7" fillId="4" borderId="10" applyAlignment="1" pivotButton="0" quotePrefix="0" xfId="0">
      <alignment horizontal="center" wrapText="1"/>
    </xf>
    <xf numFmtId="0" fontId="7" fillId="0" borderId="10" applyAlignment="1" pivotButton="0" quotePrefix="0" xfId="0">
      <alignment horizontal="center"/>
    </xf>
    <xf numFmtId="0" fontId="0" fillId="6" borderId="6" applyAlignment="1" pivotButton="0" quotePrefix="0" xfId="0">
      <alignment horizontal="left" wrapText="1"/>
    </xf>
    <xf numFmtId="0" fontId="0" fillId="6" borderId="7" applyAlignment="1" pivotButton="0" quotePrefix="0" xfId="0">
      <alignment horizontal="left" wrapText="1"/>
    </xf>
    <xf numFmtId="0" fontId="0" fillId="6" borderId="8" applyAlignment="1" pivotButton="0" quotePrefix="0" xfId="0">
      <alignment horizontal="left" wrapText="1"/>
    </xf>
    <xf numFmtId="0" fontId="7" fillId="0" borderId="9" applyAlignment="1" pivotButton="0" quotePrefix="0" xfId="0">
      <alignment horizontal="center" wrapText="1"/>
    </xf>
    <xf numFmtId="0" fontId="7" fillId="0" borderId="9" applyAlignment="1" pivotButton="0" quotePrefix="0" xfId="0">
      <alignment horizontal="center"/>
    </xf>
    <xf numFmtId="0" fontId="0" fillId="6" borderId="6" applyAlignment="1" pivotButton="0" quotePrefix="0" xfId="0">
      <alignment horizontal="left"/>
    </xf>
    <xf numFmtId="0" fontId="0" fillId="6" borderId="7" applyAlignment="1" pivotButton="0" quotePrefix="0" xfId="0">
      <alignment horizontal="left"/>
    </xf>
    <xf numFmtId="0" fontId="0" fillId="6" borderId="8" applyAlignment="1" pivotButton="0" quotePrefix="0" xfId="0">
      <alignment horizontal="left"/>
    </xf>
    <xf numFmtId="0" fontId="7" fillId="0" borderId="4" applyAlignment="1" pivotButton="0" quotePrefix="0" xfId="0">
      <alignment horizontal="center" wrapText="1"/>
    </xf>
    <xf numFmtId="0" fontId="7" fillId="4" borderId="2" applyAlignment="1" pivotButton="0" quotePrefix="0" xfId="0">
      <alignment horizontal="center"/>
    </xf>
    <xf numFmtId="0" fontId="7" fillId="9" borderId="2" applyAlignment="1" pivotButton="0" quotePrefix="0" xfId="0">
      <alignment horizontal="center" wrapText="1"/>
    </xf>
    <xf numFmtId="0" fontId="7" fillId="10" borderId="2" applyAlignment="1" pivotButton="0" quotePrefix="0" xfId="0">
      <alignment horizontal="center" wrapText="1"/>
    </xf>
    <xf numFmtId="0" fontId="1" fillId="0" borderId="6" applyAlignment="1" pivotButton="0" quotePrefix="0" xfId="0">
      <alignment horizontal="center"/>
    </xf>
    <xf numFmtId="0" fontId="1" fillId="0" borderId="7" applyAlignment="1" pivotButton="0" quotePrefix="0" xfId="0">
      <alignment horizontal="center"/>
    </xf>
    <xf numFmtId="0" fontId="1" fillId="0" borderId="8" applyAlignment="1" pivotButton="0" quotePrefix="0" xfId="0">
      <alignment horizontal="center"/>
    </xf>
    <xf numFmtId="0" fontId="7" fillId="4" borderId="9" applyAlignment="1" pivotButton="0" quotePrefix="0" xfId="0">
      <alignment horizontal="center" wrapText="1"/>
    </xf>
    <xf numFmtId="0" fontId="0" fillId="5" borderId="0" applyAlignment="1" pivotButton="0" quotePrefix="0" xfId="0">
      <alignment horizontal="right"/>
    </xf>
    <xf numFmtId="0" fontId="9" fillId="0" borderId="0" applyAlignment="1" pivotButton="0" quotePrefix="0" xfId="0">
      <alignment horizontal="left" wrapText="1"/>
    </xf>
    <xf numFmtId="0" fontId="4" fillId="0" borderId="0" applyAlignment="1" pivotButton="0" quotePrefix="0" xfId="0">
      <alignment horizontal="left"/>
    </xf>
    <xf numFmtId="0" fontId="4" fillId="0" borderId="0" applyAlignment="1" pivotButton="0" quotePrefix="0" xfId="0">
      <alignment wrapText="1"/>
    </xf>
    <xf numFmtId="0" fontId="0" fillId="0" borderId="4" pivotButton="0" quotePrefix="0" xfId="0"/>
    <xf numFmtId="0" fontId="0" fillId="0" borderId="0" applyAlignment="1" pivotButton="0" quotePrefix="0" xfId="0">
      <alignment horizontal="right"/>
    </xf>
    <xf numFmtId="0" fontId="0" fillId="0" borderId="0" pivotButton="0" quotePrefix="0" xfId="0"/>
    <xf numFmtId="0" fontId="0" fillId="0" borderId="2" pivotButton="0" quotePrefix="0" xfId="0"/>
    <xf numFmtId="0" fontId="7" fillId="0" borderId="2" applyAlignment="1" pivotButton="0" quotePrefix="0" xfId="0">
      <alignment horizontal="center" wrapText="1"/>
    </xf>
    <xf numFmtId="0" fontId="7" fillId="0" borderId="2" applyAlignment="1" pivotButton="0" quotePrefix="0" xfId="0">
      <alignment horizontal="center"/>
    </xf>
    <xf numFmtId="0" fontId="0" fillId="6" borderId="1" pivotButton="0" quotePrefix="0" xfId="0"/>
    <xf numFmtId="0" fontId="0" fillId="0" borderId="0" pivotButton="0" quotePrefix="0" xfId="0"/>
    <xf numFmtId="0" fontId="0" fillId="0" borderId="1" pivotButton="0" quotePrefix="0" xfId="0"/>
    <xf numFmtId="0" fontId="0" fillId="0" borderId="1" pivotButton="0" quotePrefix="0" xfId="0"/>
    <xf numFmtId="0" fontId="7" fillId="0" borderId="2" applyAlignment="1" pivotButton="0" quotePrefix="0" xfId="0">
      <alignment horizontal="center" wrapText="1"/>
    </xf>
    <xf numFmtId="0" fontId="1" fillId="0" borderId="1" applyAlignment="1" pivotButton="0" quotePrefix="0" xfId="0">
      <alignment horizontal="center"/>
    </xf>
    <xf numFmtId="0" fontId="0" fillId="0" borderId="8" pivotButton="0" quotePrefix="0" xfId="0"/>
    <xf numFmtId="0" fontId="0" fillId="6" borderId="1" applyAlignment="1" pivotButton="0" quotePrefix="0" xfId="0">
      <alignment horizontal="left" wrapText="1"/>
    </xf>
  </cellXfs>
  <cellStyles count="3">
    <cellStyle name="Normal" xfId="0" builtinId="0"/>
    <cellStyle name="Hyperlink" xfId="1" builtinId="8" hidden="1"/>
    <cellStyle name="Followed Hyperlink" xfId="2" builtinId="9" hidden="1"/>
  </cellStyles>
  <dxfs count="306">
    <dxf>
      <fill>
        <patternFill>
          <bgColor rgb="FFF3F7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3F7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7F3FCC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F3F7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F3FCC"/>
        </patternFill>
      </fill>
    </dxf>
    <dxf>
      <fill>
        <patternFill>
          <bgColor rgb="FF7F3FC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7F3FCC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rgb="FF00B050"/>
          <bgColor rgb="FF00B050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able1" displayName="Table1" ref="A1:A5" headerRowCount="1" totalsRowShown="0">
  <autoFilter ref="A1:A5"/>
  <tableColumns count="1">
    <tableColumn id="1" name="Mutation entr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://www.inchem.org/" TargetMode="External" Id="rId1" /><Relationship Type="http://schemas.openxmlformats.org/officeDocument/2006/relationships/hyperlink" Target="http://cfpub.epa.gov/ecotox/" TargetMode="External" Id="rId2" /><Relationship Type="http://schemas.openxmlformats.org/officeDocument/2006/relationships/hyperlink" Target="http://echa.europa.eu/web/guest/information-on-chemicals/registered-substances" TargetMode="External" Id="rId3" /><Relationship Type="http://schemas.openxmlformats.org/officeDocument/2006/relationships/hyperlink" Target="https://www.echemportal.org/echemportal/substance-search" TargetMode="External" Id="rId4" /><Relationship Type="http://schemas.openxmlformats.org/officeDocument/2006/relationships/hyperlink" Target="https://monographs.iarc.fr/list-of-classifications" TargetMode="External" Id="rId5" /><Relationship Type="http://schemas.openxmlformats.org/officeDocument/2006/relationships/hyperlink" Target="http://echa.europa.eu/ja/regulations/clp/cl-inventory" TargetMode="External" Id="rId6" /><Relationship Type="http://schemas.openxmlformats.org/officeDocument/2006/relationships/hyperlink" Target="http://onlinelibrary.wiley.com/book/10.1002/9783527666034" TargetMode="External" Id="rId7" /><Relationship Type="http://schemas.openxmlformats.org/officeDocument/2006/relationships/hyperlink" Target="http://toxnet.nlm.nih.gov/cgi-bin/sis/htmlgen?HSDB" TargetMode="External" Id="rId8" /><Relationship Type="http://schemas.openxmlformats.org/officeDocument/2006/relationships/hyperlink" Target="http://www.ourstolenfuture.com/Basics/chemlist.htm" TargetMode="External" Id="rId9" /><Relationship Type="http://schemas.openxmlformats.org/officeDocument/2006/relationships/hyperlink" Target="http://oehha.ca.gov/prop65/prop65_list/newlist.html" TargetMode="External" Id="rId10" /><Relationship Type="http://schemas.openxmlformats.org/officeDocument/2006/relationships/hyperlink" Target="file:///var/folders/_k/bkfyrth50_s35ywj3s36hy700000gp/T/Templates/databases/EPA_mundy_list%20.xlsx" TargetMode="External" Id="rId11" /><Relationship Type="http://schemas.openxmlformats.org/officeDocument/2006/relationships/hyperlink" Target="http://www.epa.gov/hpvis/" TargetMode="External" Id="rId12" /><Relationship Type="http://schemas.openxmlformats.org/officeDocument/2006/relationships/hyperlink" Target="file:///var/folders/_k/bkfyrth50_s35ywj3s36hy700000gp/T/Templates/databases/grandjean.pdf" TargetMode="External" Id="rId13" /><Relationship Type="http://schemas.openxmlformats.org/officeDocument/2006/relationships/hyperlink" Target="http://www.epa.gov/ozone/science/ods/index.html" TargetMode="External" Id="rId14" /><Relationship Type="http://schemas.openxmlformats.org/officeDocument/2006/relationships/hyperlink" Target="http://www.grida.no/publications/other/ipcc_tar/?src=/climate/ipcc_tar/wg1/248.htm" TargetMode="External" Id="rId15" /><Relationship Type="http://schemas.openxmlformats.org/officeDocument/2006/relationships/hyperlink" Target="http://www.epa.gov/ozone/geninfo/gwps.html" TargetMode="External" Id="rId16" /><Relationship Type="http://schemas.openxmlformats.org/officeDocument/2006/relationships/hyperlink" Target="http://webrigoletto.uba.de/rigoletto/public/searchRequest.do?event=request" TargetMode="External" Id="rId17" /><Relationship Type="http://schemas.openxmlformats.org/officeDocument/2006/relationships/hyperlink" Target="http://echa.europa.eu/addressing-chemicals-of-concern/restrictions/list-of-restrictions" TargetMode="External" Id="rId18" /><Relationship Type="http://schemas.openxmlformats.org/officeDocument/2006/relationships/hyperlink" Target="http://echa.europa.eu/nl/candidate-list-table" TargetMode="External" Id="rId19" /><Relationship Type="http://schemas.openxmlformats.org/officeDocument/2006/relationships/hyperlink" Target="http://chm.pops.int/Convention/ThePOPs/ListingofPOPs/tabid/2509/Default.aspx" TargetMode="External" Id="rId20" /><Relationship Type="http://schemas.openxmlformats.org/officeDocument/2006/relationships/hyperlink" Target="https://www.pharosproject.net/" TargetMode="External" Id="rId21" /><Relationship Type="http://schemas.openxmlformats.org/officeDocument/2006/relationships/hyperlink" Target="https://echa.europa.eu/information-on-chemicals" TargetMode="External" Id="rId22" /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 fitToPage="1"/>
  </sheetPr>
  <dimension ref="A1:J253"/>
  <sheetViews>
    <sheetView tabSelected="1" topLeftCell="A14" workbookViewId="0">
      <selection activeCell="F28" sqref="F28"/>
    </sheetView>
  </sheetViews>
  <sheetFormatPr baseColWidth="10" defaultColWidth="11" defaultRowHeight="16"/>
  <cols>
    <col width="37.83203125" bestFit="1" customWidth="1" style="112" min="1" max="1"/>
    <col width="45.33203125" customWidth="1" style="106" min="2" max="2"/>
    <col width="23.6640625" customWidth="1" style="112" min="3" max="3"/>
    <col width="18.6640625" customWidth="1" style="112" min="4" max="4"/>
    <col width="14.1640625" customWidth="1" style="112" min="5" max="5"/>
    <col width="15.6640625" customWidth="1" style="112" min="6" max="6"/>
    <col width="19.1640625" customWidth="1" style="112" min="7" max="7"/>
    <col width="14.5" customWidth="1" style="112" min="8" max="8"/>
    <col width="17.83203125" customWidth="1" style="112" min="9" max="9"/>
    <col width="17" customWidth="1" style="112" min="10" max="10"/>
  </cols>
  <sheetData>
    <row r="1">
      <c r="A1" s="2" t="inlineStr">
        <is>
          <t>Arche</t>
        </is>
      </c>
      <c r="B1" s="15" t="n"/>
      <c r="C1" s="3" t="n"/>
      <c r="D1" s="3" t="n"/>
      <c r="F1" s="3" t="n"/>
      <c r="G1" s="3" t="n"/>
    </row>
    <row r="2"/>
    <row r="3">
      <c r="A3" s="7" t="inlineStr">
        <is>
          <t>General information</t>
        </is>
      </c>
      <c r="B3" s="31" t="n"/>
      <c r="C3" s="7" t="n"/>
      <c r="D3" s="7" t="n"/>
      <c r="E3" s="7" t="n"/>
      <c r="F3" s="7" t="n"/>
      <c r="G3" s="7" t="n"/>
      <c r="H3" s="7" t="n"/>
      <c r="I3" s="7" t="n"/>
      <c r="J3" s="7" t="n"/>
    </row>
    <row r="4">
      <c r="A4" s="2" t="n"/>
    </row>
    <row r="5" ht="35" customHeight="1" s="112">
      <c r="A5" s="3" t="inlineStr">
        <is>
          <t>Molecular Formula or chemical picture</t>
        </is>
      </c>
      <c r="B5" s="103" t="inlineStr">
        <is>
          <t>Chemical name</t>
        </is>
      </c>
      <c r="C5" s="103" t="inlineStr">
        <is>
          <t>Common name</t>
        </is>
      </c>
      <c r="D5" s="3" t="inlineStr">
        <is>
          <t>CAS number</t>
        </is>
      </c>
      <c r="E5" s="104" t="inlineStr">
        <is>
          <t>Linked CAS Read across</t>
        </is>
      </c>
      <c r="F5" s="104" t="inlineStr">
        <is>
          <t>Linked CAS Monomers</t>
        </is>
      </c>
      <c r="G5" s="104" t="inlineStr">
        <is>
          <t>Linked CAS Degradation Products</t>
        </is>
      </c>
      <c r="H5" s="3" t="n"/>
      <c r="I5" s="3" t="inlineStr">
        <is>
          <t>Name assessor</t>
        </is>
      </c>
      <c r="J5" s="104" t="inlineStr">
        <is>
          <t>Date created/updated</t>
        </is>
      </c>
    </row>
    <row r="6" ht="16" customHeight="1" s="112">
      <c r="B6" s="78" t="n"/>
      <c r="C6" s="78" t="n"/>
      <c r="D6" s="78" t="n"/>
      <c r="F6" s="30" t="n"/>
      <c r="G6" s="3" t="n"/>
      <c r="H6" s="3" t="n"/>
      <c r="J6" s="3" t="n"/>
    </row>
    <row r="7" ht="16" customHeight="1" s="112">
      <c r="B7" s="78" t="n"/>
      <c r="C7" s="78" t="n"/>
      <c r="D7" s="78" t="n"/>
      <c r="F7" s="30" t="n"/>
      <c r="G7" s="3" t="n"/>
      <c r="H7" s="3" t="n"/>
      <c r="J7" s="3" t="n"/>
    </row>
    <row r="8" ht="16" customHeight="1" s="112">
      <c r="B8" s="78" t="n"/>
      <c r="C8" s="78" t="n"/>
      <c r="D8" s="78" t="n"/>
      <c r="F8" s="30" t="n"/>
      <c r="G8" s="3" t="n"/>
      <c r="H8" s="3" t="n"/>
      <c r="J8" s="3" t="n"/>
    </row>
    <row r="9" ht="16" customHeight="1" s="112">
      <c r="B9" s="78" t="n"/>
      <c r="C9" s="78" t="n"/>
      <c r="D9" s="78" t="n"/>
      <c r="F9" s="30" t="n"/>
      <c r="G9" s="3" t="n"/>
      <c r="H9" s="3" t="n"/>
      <c r="J9" s="3" t="n"/>
    </row>
    <row r="10" ht="16" customHeight="1" s="112">
      <c r="B10" s="78" t="n"/>
      <c r="C10" s="78" t="n"/>
      <c r="D10" s="78" t="n"/>
      <c r="F10" s="30" t="n"/>
      <c r="G10" s="3" t="n"/>
      <c r="H10" s="3" t="n"/>
      <c r="J10" s="3" t="n"/>
    </row>
    <row r="11" ht="16" customHeight="1" s="112">
      <c r="B11" s="78" t="n"/>
      <c r="C11" s="78" t="n"/>
      <c r="D11" s="78" t="n"/>
      <c r="F11" s="30" t="n"/>
      <c r="G11" s="3" t="n"/>
      <c r="H11" s="3" t="n"/>
      <c r="J11" s="3" t="n"/>
    </row>
    <row r="12" ht="16" customHeight="1" s="112">
      <c r="B12" s="78" t="n"/>
      <c r="C12" s="78" t="n"/>
      <c r="D12" s="78" t="n"/>
      <c r="F12" s="30" t="n"/>
      <c r="G12" s="3" t="n"/>
      <c r="H12" s="3" t="n"/>
      <c r="J12" s="3" t="n"/>
    </row>
    <row r="13">
      <c r="B13" s="78" t="n"/>
      <c r="C13" s="78" t="n"/>
      <c r="D13" s="78" t="n"/>
      <c r="F13" s="30" t="n"/>
      <c r="H13" s="1" t="n"/>
    </row>
    <row r="14">
      <c r="B14" s="57" t="inlineStr">
        <is>
          <t> </t>
        </is>
      </c>
      <c r="C14" s="14" t="n"/>
      <c r="F14" s="30" t="n"/>
      <c r="H14" s="1" t="n"/>
    </row>
    <row r="15">
      <c r="C15" s="14" t="n"/>
      <c r="F15" s="30" t="n"/>
      <c r="H15" s="1" t="n"/>
    </row>
    <row r="16">
      <c r="C16" s="14" t="n"/>
      <c r="E16" s="106" t="n"/>
      <c r="F16" s="30" t="n"/>
      <c r="H16" s="1" t="n"/>
    </row>
    <row r="17">
      <c r="C17" s="14" t="n"/>
      <c r="D17" s="11" t="n"/>
      <c r="F17" s="30" t="n"/>
      <c r="H17" s="1" t="n"/>
    </row>
    <row r="18">
      <c r="E18" s="11" t="n"/>
      <c r="F18" s="30" t="n"/>
      <c r="H18" s="1" t="n"/>
      <c r="I18" s="1" t="n"/>
    </row>
    <row r="19">
      <c r="A19" s="21" t="inlineStr">
        <is>
          <t>CHEMICAL CLASS</t>
        </is>
      </c>
      <c r="B19" s="32" t="n"/>
      <c r="C19" s="23" t="n"/>
      <c r="D19" s="24" t="n"/>
    </row>
    <row r="20">
      <c r="A20" s="108" t="inlineStr">
        <is>
          <t>Organohalogen</t>
        </is>
      </c>
      <c r="B20" s="57" t="inlineStr">
        <is>
          <t>Yes or no</t>
        </is>
      </c>
      <c r="C20" s="111" t="n"/>
      <c r="D20" s="105" t="n"/>
    </row>
    <row r="21">
      <c r="A21" s="26" t="n"/>
      <c r="B21" s="33" t="n"/>
      <c r="C21" s="29" t="n"/>
      <c r="D21" s="27" t="n"/>
    </row>
    <row r="22" ht="16" customHeight="1" s="112">
      <c r="A22" s="108" t="inlineStr">
        <is>
          <t>Toxic metal</t>
        </is>
      </c>
      <c r="B22" s="57" t="inlineStr">
        <is>
          <t>Yes or no</t>
        </is>
      </c>
      <c r="C22" s="111" t="n"/>
      <c r="D22" s="105" t="n"/>
    </row>
    <row r="23">
      <c r="A23" s="26" t="n"/>
      <c r="B23" s="33" t="n"/>
      <c r="C23" s="29" t="n"/>
      <c r="D23" s="27" t="n"/>
    </row>
    <row r="24">
      <c r="A24" s="108" t="inlineStr">
        <is>
          <t>Colourant</t>
        </is>
      </c>
      <c r="B24" s="57" t="inlineStr">
        <is>
          <t>Colorant type</t>
        </is>
      </c>
      <c r="C24" s="111" t="n"/>
      <c r="D24" s="105" t="n"/>
    </row>
    <row r="25">
      <c r="A25" s="26" t="n"/>
      <c r="B25" s="33" t="n"/>
      <c r="C25" s="29" t="n"/>
      <c r="D25" s="27" t="n"/>
    </row>
    <row r="26">
      <c r="A26" s="108" t="inlineStr">
        <is>
          <t>Geological</t>
        </is>
      </c>
      <c r="B26" s="57" t="inlineStr">
        <is>
          <t>Yes or no</t>
        </is>
      </c>
      <c r="C26" s="111" t="n"/>
      <c r="D26" s="105" t="n"/>
    </row>
    <row r="27">
      <c r="A27" s="26" t="n"/>
      <c r="B27" s="33" t="n"/>
      <c r="C27" s="29" t="n"/>
      <c r="D27" s="27" t="n"/>
    </row>
    <row r="28">
      <c r="A28" s="108" t="inlineStr">
        <is>
          <t>Polymer</t>
        </is>
      </c>
      <c r="B28" s="57" t="inlineStr">
        <is>
          <t>Yes or no</t>
        </is>
      </c>
      <c r="C28" s="111" t="n"/>
      <c r="D28" s="105" t="n"/>
    </row>
    <row r="29">
      <c r="A29" s="26" t="n"/>
      <c r="B29" s="33" t="n"/>
      <c r="C29" s="29" t="n"/>
      <c r="D29" s="27" t="n"/>
    </row>
    <row r="30">
      <c r="A30" s="108" t="inlineStr">
        <is>
          <t>SVHC</t>
        </is>
      </c>
      <c r="B30" s="57" t="inlineStr">
        <is>
          <t>Yes or no</t>
        </is>
      </c>
      <c r="C30" s="111" t="n"/>
      <c r="D30" s="105" t="n"/>
    </row>
    <row r="31">
      <c r="A31" s="26" t="n"/>
      <c r="B31" s="33" t="n"/>
      <c r="C31" s="29" t="n"/>
      <c r="D31" s="27" t="n"/>
    </row>
    <row r="32">
      <c r="A32" s="108" t="inlineStr">
        <is>
          <t>VOC</t>
        </is>
      </c>
      <c r="B32" s="57" t="inlineStr">
        <is>
          <t>Yes or no</t>
        </is>
      </c>
      <c r="C32" s="111" t="n"/>
      <c r="D32" s="105" t="n"/>
    </row>
    <row r="33">
      <c r="A33" s="26" t="n"/>
      <c r="B33" s="33" t="n"/>
      <c r="C33" s="29" t="n"/>
      <c r="D33" s="27" t="n"/>
    </row>
    <row r="34">
      <c r="C34" s="4" t="n"/>
      <c r="F34" s="30" t="n"/>
    </row>
    <row r="35">
      <c r="A35" s="21" t="inlineStr">
        <is>
          <t>Detailed profile matrix</t>
        </is>
      </c>
      <c r="B35" s="32" t="n"/>
      <c r="C35" s="23" t="n"/>
      <c r="D35" s="23" t="n"/>
      <c r="E35" s="23" t="n"/>
      <c r="F35" s="23" t="n"/>
      <c r="G35" s="24" t="n"/>
      <c r="H35" s="24" t="n"/>
      <c r="I35" s="48" t="n"/>
      <c r="J35" s="24" t="n"/>
    </row>
    <row r="36"/>
    <row r="37">
      <c r="A37" s="5" t="inlineStr">
        <is>
          <t>Criteria</t>
        </is>
      </c>
      <c r="B37" s="116" t="inlineStr">
        <is>
          <t>Value</t>
        </is>
      </c>
      <c r="C37" s="61" t="n"/>
      <c r="D37" s="61" t="n"/>
      <c r="E37" s="61" t="n"/>
      <c r="F37" s="61" t="n"/>
      <c r="G37" s="117" t="n"/>
      <c r="H37" s="6" t="inlineStr">
        <is>
          <t>Notifiers</t>
        </is>
      </c>
      <c r="I37" s="5" t="inlineStr">
        <is>
          <t>Hazard Assessment</t>
        </is>
      </c>
      <c r="J37" s="5" t="inlineStr">
        <is>
          <t>Risk Assessment</t>
        </is>
      </c>
    </row>
    <row r="38">
      <c r="A38" s="35" t="inlineStr">
        <is>
          <t>HUMAN HEALTH</t>
        </is>
      </c>
      <c r="B38" s="36" t="n"/>
      <c r="C38" s="37" t="n"/>
      <c r="D38" s="37" t="n"/>
      <c r="E38" s="37" t="n"/>
      <c r="F38" s="37" t="n"/>
      <c r="G38" s="38" t="n"/>
      <c r="H38" s="38" t="n"/>
      <c r="I38" s="39" t="n"/>
      <c r="J38" s="39" t="n"/>
    </row>
    <row r="39">
      <c r="A39" s="25" t="inlineStr">
        <is>
          <t>Carcinogenicity</t>
        </is>
      </c>
      <c r="B39" s="57" t="inlineStr">
        <is>
          <t>Carcinogenicity Classified CLP:</t>
        </is>
      </c>
      <c r="C39" s="73" t="n"/>
      <c r="D39" s="61" t="n"/>
      <c r="E39" s="61" t="n"/>
      <c r="F39" s="117" t="n"/>
      <c r="H39" s="25" t="n"/>
      <c r="I39" s="100" t="n"/>
      <c r="J39" s="110" t="n"/>
    </row>
    <row r="40">
      <c r="A40" s="108" t="n"/>
      <c r="B40" s="57" t="inlineStr">
        <is>
          <t>Carcinogenicity Classified MAK:</t>
        </is>
      </c>
      <c r="C40" s="73" t="n"/>
      <c r="D40" s="61" t="n"/>
      <c r="E40" s="61" t="n"/>
      <c r="F40" s="117" t="n"/>
      <c r="H40" s="108" t="n"/>
      <c r="I40" s="108" t="n"/>
      <c r="J40" s="108" t="n"/>
    </row>
    <row r="41">
      <c r="A41" s="108" t="n"/>
      <c r="B41" s="57" t="inlineStr">
        <is>
          <t>Carcinogenicity Classified IARC:</t>
        </is>
      </c>
      <c r="C41" s="73" t="n"/>
      <c r="D41" s="61" t="n"/>
      <c r="E41" s="61" t="n"/>
      <c r="F41" s="117" t="n"/>
      <c r="H41" s="108" t="n"/>
      <c r="I41" s="108" t="n"/>
      <c r="J41" s="108" t="n"/>
    </row>
    <row r="42">
      <c r="A42" s="108" t="n"/>
      <c r="B42" s="57" t="inlineStr">
        <is>
          <t>Carcinogenicity Classified TLV:</t>
        </is>
      </c>
      <c r="C42" s="73" t="n"/>
      <c r="D42" s="61" t="n"/>
      <c r="E42" s="61" t="n"/>
      <c r="F42" s="117" t="n"/>
      <c r="H42" s="108" t="n"/>
      <c r="I42" s="108" t="n"/>
      <c r="J42" s="108" t="n"/>
    </row>
    <row r="43">
      <c r="A43" s="108" t="n"/>
      <c r="B43" s="57" t="inlineStr">
        <is>
          <t>Carcinogenicity experimental evidence</t>
        </is>
      </c>
      <c r="C43" s="54" t="n"/>
      <c r="D43" s="57" t="inlineStr">
        <is>
          <t>mg/kg bw</t>
        </is>
      </c>
      <c r="E43" s="57" t="n"/>
      <c r="F43" s="57" t="n"/>
      <c r="H43" s="108" t="n"/>
      <c r="I43" s="76" t="n"/>
      <c r="J43" s="67" t="n"/>
    </row>
    <row r="44">
      <c r="A44" s="108" t="n"/>
      <c r="B44" s="57" t="inlineStr">
        <is>
          <t>Carcinogenicity Comments:</t>
        </is>
      </c>
      <c r="C44" s="57" t="n"/>
      <c r="D44" s="57" t="n"/>
      <c r="E44" s="57" t="n"/>
      <c r="F44" s="57" t="n"/>
      <c r="H44" s="108" t="n"/>
      <c r="I44" s="76" t="n"/>
      <c r="J44" s="67" t="n"/>
    </row>
    <row r="45">
      <c r="A45" s="108" t="n"/>
      <c r="B45" s="57" t="n"/>
      <c r="C45" s="57" t="n"/>
      <c r="D45" s="57" t="n"/>
      <c r="E45" s="57" t="n"/>
      <c r="F45" s="57" t="n"/>
      <c r="H45" s="108" t="n"/>
      <c r="I45" s="76" t="n"/>
      <c r="J45" s="67" t="n"/>
    </row>
    <row r="46" ht="8" customHeight="1" s="112">
      <c r="A46" s="40" t="n"/>
      <c r="B46" s="41" t="n"/>
      <c r="C46" s="41" t="n"/>
      <c r="D46" s="41" t="n"/>
      <c r="E46" s="41" t="n"/>
      <c r="F46" s="41" t="n"/>
      <c r="G46" s="42" t="n"/>
      <c r="H46" s="40" t="n"/>
      <c r="I46" s="49" t="n"/>
      <c r="J46" s="52" t="n"/>
    </row>
    <row r="47">
      <c r="A47" s="108" t="inlineStr">
        <is>
          <t>Disruption of endocrine system</t>
        </is>
      </c>
      <c r="B47" s="57" t="inlineStr">
        <is>
          <t>Endocrine Classified CLP:</t>
        </is>
      </c>
      <c r="C47" s="73" t="n"/>
      <c r="D47" s="61" t="n"/>
      <c r="E47" s="61" t="n"/>
      <c r="F47" s="117" t="n"/>
      <c r="H47" s="108" t="n"/>
      <c r="I47" s="95" t="n"/>
      <c r="J47" s="110" t="n"/>
    </row>
    <row r="48">
      <c r="A48" s="108" t="n"/>
      <c r="B48" s="57" t="inlineStr">
        <is>
          <t>Endocrine evidence:</t>
        </is>
      </c>
      <c r="C48" s="73" t="n"/>
      <c r="D48" s="61" t="n"/>
      <c r="E48" s="61" t="n"/>
      <c r="F48" s="117" t="n"/>
      <c r="H48" s="108" t="n"/>
      <c r="I48" s="108" t="n"/>
      <c r="J48" s="108" t="n"/>
    </row>
    <row r="49">
      <c r="A49" s="108" t="n"/>
      <c r="B49" s="57" t="inlineStr">
        <is>
          <t>Endocrine Disruption Comments:</t>
        </is>
      </c>
      <c r="H49" s="108" t="n"/>
      <c r="I49" s="108" t="n"/>
      <c r="J49" s="108" t="n"/>
    </row>
    <row r="50">
      <c r="A50" s="108" t="n"/>
      <c r="H50" s="108" t="n"/>
      <c r="I50" s="108" t="n"/>
      <c r="J50" s="108" t="n"/>
    </row>
    <row r="51" ht="8" customHeight="1" s="112">
      <c r="A51" s="43" t="n"/>
      <c r="B51" s="44" t="n"/>
      <c r="C51" s="41" t="n"/>
      <c r="D51" s="41" t="n"/>
      <c r="E51" s="41" t="n"/>
      <c r="F51" s="41" t="n"/>
      <c r="G51" s="42" t="n"/>
      <c r="H51" s="42" t="n"/>
      <c r="I51" s="50" t="n"/>
      <c r="J51" s="53" t="n"/>
    </row>
    <row r="52" ht="16" customHeight="1" s="112">
      <c r="A52" s="105" t="inlineStr">
        <is>
          <t>Mutagenicity/genotoxicity</t>
        </is>
      </c>
      <c r="B52" s="57" t="inlineStr">
        <is>
          <t>Mutagenicity Classified CLP:</t>
        </is>
      </c>
      <c r="C52" s="73" t="inlineStr">
        <is>
          <t>Muta. 1B: H340: May cause genetic defects</t>
        </is>
      </c>
      <c r="D52" s="61" t="n"/>
      <c r="E52" s="61" t="n"/>
      <c r="F52" s="117" t="n"/>
      <c r="H52" s="108" t="n"/>
      <c r="I52" s="96" t="n"/>
      <c r="J52" s="110" t="n"/>
    </row>
    <row r="53" ht="16" customHeight="1" s="112" thickBot="1">
      <c r="B53" s="57" t="inlineStr">
        <is>
          <t>Mutagenicity Classified MAK:</t>
        </is>
      </c>
      <c r="C53" s="73" t="inlineStr">
        <is>
          <t>MAK IX 3A</t>
        </is>
      </c>
      <c r="D53" s="61" t="n"/>
      <c r="E53" s="61" t="n"/>
      <c r="F53" s="117" t="n"/>
      <c r="H53" s="108" t="n"/>
      <c r="I53" s="108" t="n"/>
      <c r="J53" s="108" t="n"/>
    </row>
    <row r="54" ht="17" customHeight="1" s="112" thickBot="1">
      <c r="A54" s="63" t="inlineStr">
        <is>
          <t>Point mutations: (OECD)</t>
        </is>
      </c>
      <c r="B54" s="57" t="inlineStr">
        <is>
          <t>Point mutations:</t>
        </is>
      </c>
      <c r="C54" s="90" t="n"/>
      <c r="D54" s="91" t="n"/>
      <c r="E54" s="92" t="n"/>
      <c r="F54" s="111" t="n"/>
      <c r="H54" s="108" t="n"/>
      <c r="I54" s="108" t="n"/>
      <c r="J54" s="108" t="n"/>
    </row>
    <row r="55">
      <c r="A55" s="77" t="n"/>
      <c r="B55" s="57" t="inlineStr">
        <is>
          <t>Point mutations:</t>
        </is>
      </c>
      <c r="C55" s="90" t="n"/>
      <c r="D55" s="91" t="n"/>
      <c r="E55" s="92" t="n"/>
      <c r="F55" s="111" t="n"/>
      <c r="H55" s="108" t="n"/>
      <c r="I55" s="108" t="n"/>
      <c r="J55" s="108" t="n"/>
    </row>
    <row r="56">
      <c r="A56" s="77" t="n"/>
      <c r="B56" s="57" t="inlineStr">
        <is>
          <t>Point mutations:</t>
        </is>
      </c>
      <c r="C56" s="90" t="n"/>
      <c r="D56" s="91" t="n"/>
      <c r="E56" s="92" t="n"/>
      <c r="F56" s="111" t="n"/>
      <c r="H56" s="108" t="n"/>
      <c r="I56" s="108" t="n"/>
      <c r="J56" s="108" t="n"/>
    </row>
    <row r="57">
      <c r="A57" s="77" t="n"/>
      <c r="B57" s="57" t="inlineStr">
        <is>
          <t>Point mutations:</t>
        </is>
      </c>
      <c r="C57" s="90" t="n"/>
      <c r="D57" s="91" t="n"/>
      <c r="E57" s="92" t="n"/>
      <c r="F57" s="111" t="n"/>
      <c r="H57" s="108" t="n"/>
      <c r="I57" s="108" t="n"/>
      <c r="J57" s="108" t="n"/>
    </row>
    <row r="58">
      <c r="A58" s="77" t="n"/>
      <c r="B58" s="57" t="inlineStr">
        <is>
          <t>Point mutations:</t>
        </is>
      </c>
      <c r="C58" s="90" t="n"/>
      <c r="D58" s="91" t="n"/>
      <c r="E58" s="92" t="n"/>
      <c r="F58" s="111" t="n"/>
      <c r="H58" s="108" t="n"/>
      <c r="I58" s="108" t="n"/>
      <c r="J58" s="108" t="n"/>
    </row>
    <row r="59">
      <c r="A59" s="108" t="n"/>
      <c r="B59" s="57" t="inlineStr">
        <is>
          <t>Chromosome damaging:</t>
        </is>
      </c>
      <c r="C59" s="90" t="n"/>
      <c r="D59" s="91" t="n"/>
      <c r="E59" s="92" t="n"/>
      <c r="F59" s="111" t="n"/>
      <c r="H59" s="108" t="n"/>
      <c r="I59" s="108" t="n"/>
      <c r="J59" s="108" t="n"/>
    </row>
    <row r="60">
      <c r="A60" s="105" t="n"/>
      <c r="B60" s="57" t="inlineStr">
        <is>
          <t>Chromosome damaging:</t>
        </is>
      </c>
      <c r="C60" s="90" t="n"/>
      <c r="D60" s="91" t="n"/>
      <c r="E60" s="92" t="n"/>
      <c r="F60" s="111" t="n"/>
      <c r="H60" s="108" t="n"/>
      <c r="I60" s="108" t="n"/>
      <c r="J60" s="108" t="n"/>
    </row>
    <row r="61">
      <c r="A61" s="105" t="n"/>
      <c r="B61" s="57" t="inlineStr">
        <is>
          <t>Chromosome damaging:</t>
        </is>
      </c>
      <c r="C61" s="90" t="n"/>
      <c r="D61" s="91" t="n"/>
      <c r="E61" s="92" t="n"/>
      <c r="F61" s="111" t="n"/>
      <c r="H61" s="108" t="n"/>
      <c r="I61" s="108" t="n"/>
      <c r="J61" s="108" t="n"/>
    </row>
    <row r="62">
      <c r="A62" s="105" t="n"/>
      <c r="B62" s="57" t="inlineStr">
        <is>
          <t>Chromosome damaging:</t>
        </is>
      </c>
      <c r="C62" s="90" t="n"/>
      <c r="D62" s="91" t="n"/>
      <c r="E62" s="92" t="n"/>
      <c r="F62" s="111" t="n"/>
      <c r="H62" s="108" t="n"/>
      <c r="I62" s="108" t="n"/>
      <c r="J62" s="108" t="n"/>
    </row>
    <row r="63">
      <c r="A63" s="105" t="n"/>
      <c r="B63" s="57" t="inlineStr">
        <is>
          <t>Chromosome damaging:</t>
        </is>
      </c>
      <c r="C63" s="90" t="n"/>
      <c r="D63" s="91" t="n"/>
      <c r="E63" s="92" t="n"/>
      <c r="F63" s="111" t="n"/>
      <c r="H63" s="108" t="n"/>
      <c r="I63" s="108" t="n"/>
      <c r="J63" s="108" t="n"/>
    </row>
    <row r="64">
      <c r="A64" s="105" t="n"/>
      <c r="B64" s="57" t="inlineStr">
        <is>
          <t>Mutagenicity Comments:</t>
        </is>
      </c>
      <c r="C64" t="inlineStr">
        <is>
          <t>Testing muta com</t>
        </is>
      </c>
      <c r="H64" s="108" t="n"/>
      <c r="I64" s="108" t="n"/>
      <c r="J64" s="108" t="n"/>
    </row>
    <row r="65">
      <c r="A65" s="105" t="n"/>
      <c r="B65" s="57" t="n"/>
      <c r="H65" s="108" t="n"/>
      <c r="I65" s="95" t="n"/>
      <c r="J65" s="110" t="n"/>
    </row>
    <row r="66" ht="8" customHeight="1" s="112">
      <c r="A66" s="40" t="n"/>
      <c r="B66" s="75" t="n"/>
      <c r="C66" s="41" t="n"/>
      <c r="D66" s="41" t="n"/>
      <c r="E66" s="41" t="n"/>
      <c r="F66" s="41" t="n"/>
      <c r="G66" s="42" t="n"/>
      <c r="H66" s="40" t="n"/>
      <c r="I66" s="50" t="n"/>
      <c r="J66" s="51" t="n"/>
    </row>
    <row r="67" ht="16" customHeight="1" s="112">
      <c r="A67" s="108" t="inlineStr">
        <is>
          <t>Reproductive toxicity</t>
        </is>
      </c>
      <c r="B67" s="57" t="inlineStr">
        <is>
          <t>Reprotox Classified CLP:</t>
        </is>
      </c>
      <c r="C67" s="90" t="n"/>
      <c r="D67" s="91" t="n"/>
      <c r="E67" s="91" t="n"/>
      <c r="F67" s="92" t="n"/>
      <c r="H67" s="108" t="n"/>
      <c r="I67" s="115" t="n"/>
      <c r="J67" s="110" t="n"/>
    </row>
    <row r="68" ht="16" customHeight="1" s="112">
      <c r="A68" s="108" t="n"/>
      <c r="B68" s="57" t="inlineStr">
        <is>
          <t>Reprotox Classified MAK:</t>
        </is>
      </c>
      <c r="C68" s="90" t="n"/>
      <c r="D68" s="91" t="n"/>
      <c r="E68" s="91" t="n"/>
      <c r="F68" s="92" t="n"/>
      <c r="H68" s="108" t="n"/>
      <c r="I68" s="108" t="n"/>
      <c r="J68" s="108" t="n"/>
    </row>
    <row r="69">
      <c r="A69" s="108" t="n"/>
      <c r="B69" s="73" t="inlineStr">
        <is>
          <t>Oral NOAEL =</t>
        </is>
      </c>
      <c r="C69" s="54" t="n"/>
      <c r="D69">
        <f>IF(B69="Oral NOAEL =","mg/kg bw/day",IF(B69="Inhalation NOAEL =","mg/l 6-8 h/day"," "))</f>
        <v/>
      </c>
      <c r="H69" s="108" t="n"/>
      <c r="I69" s="108" t="n"/>
      <c r="J69" s="108" t="n"/>
    </row>
    <row r="70">
      <c r="A70" s="108" t="n"/>
      <c r="B70" s="57" t="inlineStr">
        <is>
          <t>Inhalation NOAEL =</t>
        </is>
      </c>
      <c r="D70">
        <f>IF(B70="Oral NOAEL =","mg/kg bw/day",IF(B70="Inhalation NOAEL =","mg/l 6-8 h/day"," "))</f>
        <v/>
      </c>
      <c r="H70" s="108" t="n"/>
      <c r="I70" s="108" t="n"/>
      <c r="J70" s="108" t="n"/>
    </row>
    <row r="71">
      <c r="A71" s="28" t="n"/>
      <c r="B71" s="57" t="inlineStr">
        <is>
          <t>Reproductive Toxicity Comments:</t>
        </is>
      </c>
      <c r="H71" s="108" t="n"/>
      <c r="I71" s="115" t="n"/>
      <c r="J71" s="110" t="n"/>
    </row>
    <row r="72">
      <c r="A72" s="28" t="n"/>
      <c r="B72" s="57" t="n"/>
      <c r="H72" s="108" t="n"/>
      <c r="I72" s="115" t="n"/>
      <c r="J72" s="110" t="n"/>
    </row>
    <row r="73" ht="8" customHeight="1" s="112">
      <c r="A73" s="43" t="n"/>
      <c r="B73" s="75" t="n"/>
      <c r="C73" s="41" t="n"/>
      <c r="D73" s="41" t="n"/>
      <c r="E73" s="41" t="n"/>
      <c r="F73" s="41" t="n"/>
      <c r="G73" s="42" t="n"/>
      <c r="H73" s="40" t="n"/>
      <c r="I73" s="47" t="n"/>
      <c r="J73" s="45" t="n"/>
    </row>
    <row r="74">
      <c r="A74" s="105" t="inlineStr">
        <is>
          <t>Development toxicity</t>
        </is>
      </c>
      <c r="B74" s="57" t="inlineStr">
        <is>
          <t>Developmental Classified CLP:</t>
        </is>
      </c>
      <c r="C74" s="90" t="n"/>
      <c r="D74" s="91" t="n"/>
      <c r="E74" s="91" t="n"/>
      <c r="F74" s="92" t="n"/>
      <c r="H74" s="108" t="n"/>
      <c r="I74" s="115" t="n"/>
      <c r="J74" s="110" t="n"/>
    </row>
    <row r="75">
      <c r="A75" s="105" t="n"/>
      <c r="B75" s="57" t="inlineStr">
        <is>
          <t>Developmental Classified MAK:</t>
        </is>
      </c>
      <c r="C75" s="90" t="n"/>
      <c r="D75" s="91" t="n"/>
      <c r="E75" s="91" t="n"/>
      <c r="F75" s="92" t="n"/>
      <c r="H75" s="108" t="n"/>
      <c r="I75" s="108" t="n"/>
      <c r="J75" s="108" t="n"/>
    </row>
    <row r="76">
      <c r="A76" s="105" t="n"/>
      <c r="B76" s="57" t="inlineStr">
        <is>
          <t>Oral NOAEL =</t>
        </is>
      </c>
      <c r="C76" s="54" t="n"/>
      <c r="D76">
        <f>IF(B76="Oral NOAEL =","mg/kg bw/day",IF(B76="Inhalation NOAEL =","mg/l 6-8 h/day"," "))</f>
        <v/>
      </c>
      <c r="H76" s="108" t="n"/>
      <c r="I76" s="108" t="n"/>
      <c r="J76" s="108" t="n"/>
    </row>
    <row r="77">
      <c r="A77" s="105" t="n"/>
      <c r="B77" s="57" t="inlineStr">
        <is>
          <t>Inhalation NOAEL =</t>
        </is>
      </c>
      <c r="C77" s="54" t="n"/>
      <c r="D77">
        <f>IF(B77="Oral NOAEL =","mg/kg bw/day",IF(B77="Inhalation NOAEL =","mg/l 6-8 h/day"," "))</f>
        <v/>
      </c>
      <c r="H77" s="108" t="n"/>
      <c r="I77" s="108" t="n"/>
      <c r="J77" s="108" t="n"/>
    </row>
    <row r="78">
      <c r="B78" s="57" t="inlineStr">
        <is>
          <t>Developmental Toxicity Comments:</t>
        </is>
      </c>
      <c r="H78" s="108" t="n"/>
      <c r="I78" s="115" t="n"/>
      <c r="J78" s="110" t="n"/>
    </row>
    <row r="79">
      <c r="B79" s="57" t="n"/>
      <c r="H79" s="108" t="n"/>
      <c r="I79" s="115" t="n"/>
      <c r="J79" s="110" t="n"/>
    </row>
    <row r="80" ht="8" customHeight="1" s="112">
      <c r="A80" s="43" t="n"/>
      <c r="B80" s="44" t="n"/>
      <c r="C80" s="41" t="n"/>
      <c r="D80" s="41" t="n"/>
      <c r="E80" s="41" t="n"/>
      <c r="F80" s="41" t="n"/>
      <c r="G80" s="42" t="n"/>
      <c r="H80" s="40" t="n"/>
      <c r="I80" s="47" t="n"/>
      <c r="J80" s="51" t="n"/>
    </row>
    <row r="81">
      <c r="A81" s="105" t="inlineStr">
        <is>
          <t>Neurotoxicity</t>
        </is>
      </c>
      <c r="B81" s="57" t="inlineStr">
        <is>
          <t>Neurotox Classified CLP:</t>
        </is>
      </c>
      <c r="C81" s="73" t="n"/>
      <c r="D81" s="61" t="n"/>
      <c r="E81" s="61" t="n"/>
      <c r="F81" s="117" t="n"/>
      <c r="G81" s="105" t="n"/>
      <c r="H81" s="108" t="n"/>
      <c r="I81" s="94" t="n"/>
      <c r="J81" s="110" t="n"/>
    </row>
    <row r="82">
      <c r="A82" s="105" t="n"/>
      <c r="B82" s="57" t="inlineStr">
        <is>
          <t>Neurotox on a list:</t>
        </is>
      </c>
      <c r="C82" s="73" t="n"/>
      <c r="D82" s="61" t="n"/>
      <c r="E82" s="61" t="n"/>
      <c r="F82" s="117" t="n"/>
      <c r="G82" s="105" t="n"/>
      <c r="H82" s="108" t="n"/>
      <c r="I82" s="108" t="n"/>
      <c r="J82" s="108" t="n"/>
    </row>
    <row r="83">
      <c r="A83" s="105" t="n"/>
      <c r="B83" s="57" t="inlineStr">
        <is>
          <t xml:space="preserve">Neurotox scientific evidence? </t>
        </is>
      </c>
      <c r="C83" s="73" t="n"/>
      <c r="G83" s="105" t="n"/>
      <c r="H83" s="108" t="n"/>
      <c r="I83" s="108" t="n"/>
      <c r="J83" s="108" t="n"/>
    </row>
    <row r="84">
      <c r="A84" s="105" t="n"/>
      <c r="B84" s="57" t="inlineStr">
        <is>
          <t>Neurotox chronic LOAEL:</t>
        </is>
      </c>
      <c r="C84" s="55" t="n"/>
      <c r="E84" s="57" t="n"/>
      <c r="F84" s="57" t="n"/>
      <c r="G84" s="105" t="n"/>
      <c r="H84" s="108" t="n"/>
      <c r="I84" s="108" t="n"/>
      <c r="J84" s="108" t="n"/>
    </row>
    <row r="85">
      <c r="A85" s="105" t="n"/>
      <c r="B85" s="57" t="inlineStr">
        <is>
          <t>Neurtox STOT LOAEL:</t>
        </is>
      </c>
      <c r="C85" s="55" t="n"/>
      <c r="E85" s="57" t="n"/>
      <c r="F85" s="57" t="n"/>
      <c r="G85" s="105" t="n"/>
      <c r="H85" s="108" t="n"/>
      <c r="I85" s="108" t="n"/>
      <c r="J85" s="108" t="n"/>
    </row>
    <row r="86">
      <c r="A86" s="105" t="n"/>
      <c r="B86" s="57" t="inlineStr">
        <is>
          <t>Neurotox Comments:</t>
        </is>
      </c>
      <c r="E86" s="57" t="n"/>
      <c r="F86" s="57" t="n"/>
      <c r="G86" s="105" t="n"/>
      <c r="H86" s="108" t="n"/>
      <c r="I86" s="108" t="n"/>
      <c r="J86" s="108" t="n"/>
    </row>
    <row r="87">
      <c r="A87" s="105" t="n"/>
      <c r="G87" s="105" t="n"/>
      <c r="H87" s="108" t="n"/>
      <c r="I87" s="108" t="n"/>
      <c r="J87" s="108" t="n"/>
    </row>
    <row r="88" ht="8" customHeight="1" s="112">
      <c r="A88" s="40" t="n"/>
      <c r="B88" s="44" t="n"/>
      <c r="C88" s="41" t="n"/>
      <c r="D88" s="41" t="n"/>
      <c r="E88" s="41" t="n"/>
      <c r="F88" s="41" t="n"/>
      <c r="G88" s="42" t="n"/>
      <c r="H88" s="40" t="n"/>
      <c r="I88" s="47" t="n"/>
      <c r="J88" s="51" t="n"/>
    </row>
    <row r="89">
      <c r="A89" s="105" t="inlineStr">
        <is>
          <t>Oral toxicity</t>
        </is>
      </c>
      <c r="B89" s="57" t="inlineStr">
        <is>
          <t>Oral toxicity Acute Tox classified:</t>
        </is>
      </c>
      <c r="C89" s="73" t="n"/>
      <c r="D89" s="61" t="n"/>
      <c r="E89" s="61" t="n"/>
      <c r="F89" s="117" t="n"/>
      <c r="G89" s="105" t="n"/>
      <c r="H89" s="108" t="n"/>
      <c r="I89" s="115" t="n"/>
      <c r="J89" s="110" t="n"/>
    </row>
    <row r="90">
      <c r="A90" s="105" t="n"/>
      <c r="B90" s="57" t="inlineStr">
        <is>
          <t>Oral toxicity Asp Tox classified:</t>
        </is>
      </c>
      <c r="C90" s="73" t="n"/>
      <c r="D90" s="61" t="n"/>
      <c r="E90" s="61" t="n"/>
      <c r="F90" s="117" t="n"/>
      <c r="G90" s="105" t="n"/>
      <c r="H90" s="108" t="n"/>
      <c r="I90" s="108" t="n"/>
      <c r="J90" s="108" t="n"/>
    </row>
    <row r="91">
      <c r="A91" s="105" t="n"/>
      <c r="B91" s="57" t="inlineStr">
        <is>
          <t>Oral toxicity STOT classified:</t>
        </is>
      </c>
      <c r="C91" s="73" t="n"/>
      <c r="D91" s="61" t="n"/>
      <c r="E91" s="61" t="n"/>
      <c r="F91" s="117" t="n"/>
      <c r="G91" s="105" t="n"/>
      <c r="H91" s="108" t="n"/>
      <c r="I91" s="108" t="n"/>
      <c r="J91" s="108" t="n"/>
    </row>
    <row r="92">
      <c r="B92" s="74" t="inlineStr">
        <is>
          <t>Oral Acute: LD50 =</t>
        </is>
      </c>
      <c r="C92" s="55" t="n"/>
      <c r="D92" t="inlineStr">
        <is>
          <t>mg/kg bw</t>
        </is>
      </c>
      <c r="E92" s="30" t="n"/>
      <c r="G92" s="105" t="n"/>
      <c r="H92" s="108" t="n"/>
      <c r="I92" s="108" t="n"/>
      <c r="J92" s="108" t="n"/>
    </row>
    <row r="93">
      <c r="B93" s="74" t="inlineStr">
        <is>
          <t>Oral Chronic: LOAEL =</t>
        </is>
      </c>
      <c r="C93" s="55" t="n"/>
      <c r="D93" t="inlineStr">
        <is>
          <t>mg/kg  bw/day</t>
        </is>
      </c>
      <c r="G93" s="105" t="n"/>
      <c r="H93" s="108" t="n"/>
      <c r="I93" s="108" t="n"/>
      <c r="J93" s="108" t="n"/>
    </row>
    <row r="94">
      <c r="A94" s="105" t="n"/>
      <c r="B94" s="57" t="inlineStr">
        <is>
          <t>Oral Toxicity Comments:</t>
        </is>
      </c>
      <c r="G94" s="105" t="n"/>
      <c r="H94" s="108" t="n"/>
      <c r="I94" s="108" t="n"/>
      <c r="J94" s="108" t="n"/>
    </row>
    <row r="95">
      <c r="A95" s="105" t="n"/>
      <c r="G95" s="105" t="n"/>
      <c r="H95" s="108" t="n"/>
      <c r="I95" s="115" t="n"/>
      <c r="J95" s="110" t="n"/>
    </row>
    <row r="96" ht="8" customHeight="1" s="112">
      <c r="A96" s="40" t="n"/>
      <c r="B96" s="44" t="n"/>
      <c r="C96" s="41" t="n"/>
      <c r="D96" s="41" t="n"/>
      <c r="E96" s="41" t="n"/>
      <c r="F96" s="41" t="n"/>
      <c r="G96" s="42" t="n"/>
      <c r="H96" s="40" t="n"/>
      <c r="I96" s="47" t="n"/>
      <c r="J96" s="51" t="n"/>
    </row>
    <row r="97">
      <c r="A97" s="105" t="inlineStr">
        <is>
          <t>Inhalative toxicity</t>
        </is>
      </c>
      <c r="B97" s="57" t="inlineStr">
        <is>
          <t>Inhalative toxicity Acute Tox classification:</t>
        </is>
      </c>
      <c r="C97" s="73" t="n"/>
      <c r="D97" s="61" t="n"/>
      <c r="E97" s="61" t="n"/>
      <c r="F97" s="117" t="n"/>
      <c r="G97" s="105" t="n"/>
      <c r="H97" s="108" t="n"/>
      <c r="I97" s="110" t="n"/>
      <c r="J97" s="110" t="n"/>
    </row>
    <row r="98">
      <c r="A98" s="105" t="n"/>
      <c r="B98" s="57" t="inlineStr">
        <is>
          <t>Inhalative toxicity STOT classified:</t>
        </is>
      </c>
      <c r="C98" s="73" t="n"/>
      <c r="D98" s="61" t="n"/>
      <c r="E98" s="61" t="n"/>
      <c r="F98" s="117" t="n"/>
      <c r="G98" s="105" t="n"/>
      <c r="H98" s="108" t="n"/>
      <c r="I98" s="108" t="n"/>
      <c r="J98" s="108" t="n"/>
    </row>
    <row r="99">
      <c r="A99" s="105" t="n"/>
      <c r="B99" s="73" t="inlineStr">
        <is>
          <t>Acute: LC50 (gas) =</t>
        </is>
      </c>
      <c r="C99" s="55" t="n"/>
      <c r="D99">
        <f>IF(B99="Acute: LC50 (dust/mist/aerosol) =","mg/l/4h",IF(B99="Acute: LC50 (vapor) =","mg/l/4h",IF(B99="Acute: LC50 (gas) =","ppmV")))</f>
        <v/>
      </c>
      <c r="G99" s="105" t="n"/>
      <c r="H99" s="108" t="n"/>
      <c r="I99" s="108" t="n"/>
      <c r="J99" s="108" t="n"/>
    </row>
    <row r="100">
      <c r="A100" s="105" t="n"/>
      <c r="B100" s="73" t="inlineStr">
        <is>
          <t>Acute: LC50 (vapor) =</t>
        </is>
      </c>
      <c r="C100" s="55" t="n"/>
      <c r="D100">
        <f>IF(B100="Acute: LC50 (dust/mist/aerosol) =","mg/l/4h",IF(B100="Acute: LC50 (vapor) =","mg/l/4h",IF(B100="Acute: LC50 (gas) =","ppmV")))</f>
        <v/>
      </c>
      <c r="G100" s="105" t="n"/>
      <c r="H100" s="108" t="n"/>
      <c r="I100" s="108" t="n"/>
      <c r="J100" s="108" t="n"/>
    </row>
    <row r="101">
      <c r="A101" s="105" t="n"/>
      <c r="B101" s="73" t="inlineStr">
        <is>
          <t>Acute: LC50 (dust/mist/aerosol) =</t>
        </is>
      </c>
      <c r="C101" s="55" t="n"/>
      <c r="D101">
        <f>IF(B101="Acute: LC50 (dust/mist/aerosol) =","mg/l/4h",IF(B101="Acute: LC50 (vapor) =","mg/l/4h",IF(B101="Acute: LC50 (gas) =","ppmV")))</f>
        <v/>
      </c>
      <c r="G101" s="105" t="n"/>
      <c r="H101" s="108" t="n"/>
      <c r="I101" s="108" t="n"/>
      <c r="J101" s="108" t="n"/>
    </row>
    <row r="102">
      <c r="A102" s="105" t="n"/>
      <c r="B102" s="73" t="inlineStr">
        <is>
          <t>Chronic: LOAEL (gas) =</t>
        </is>
      </c>
      <c r="C102" s="55" t="n"/>
      <c r="D102">
        <f>IF(B102="Chronic: LOAEL (dust/mist/aerosol) =","mg/l/6h/d",IF(B102="Chronic: LOAEL (vapor) =","mg/l/6h/d",IF(B102="Chronic: LOAEL (gas) =","ppmV/6h/d")))</f>
        <v/>
      </c>
      <c r="G102" s="105" t="n"/>
      <c r="H102" s="108" t="n"/>
      <c r="I102" s="108" t="n"/>
      <c r="J102" s="108" t="n"/>
    </row>
    <row r="103">
      <c r="A103" s="105" t="n"/>
      <c r="B103" s="73" t="inlineStr">
        <is>
          <t>Chronic: LOAEL (vapor) =</t>
        </is>
      </c>
      <c r="C103" s="55" t="n"/>
      <c r="D103">
        <f>IF(B103="Chronic: LOAEL (dust/mist/aerosol) =","mg/l/6h/d",IF(B103="Chronic: LOAEL (vapor) =","mg/l/6h/d",IF(B103="Chronic: LOAEL (gas) =","ppmV/6h/d")))</f>
        <v/>
      </c>
      <c r="G103" s="105" t="n"/>
      <c r="H103" s="108" t="n"/>
      <c r="I103" s="108" t="n"/>
      <c r="J103" s="108" t="n"/>
    </row>
    <row r="104">
      <c r="A104" s="105" t="n"/>
      <c r="B104" s="73" t="inlineStr">
        <is>
          <t>Chronic: LOAEL (dust/mist/aerosol) =</t>
        </is>
      </c>
      <c r="C104" s="55" t="n"/>
      <c r="D104">
        <f>IF(B104="Chronic: LOAEL (dust/mist/aerosol) =","mg/l/6h/d",IF(B104="Chronic: LOAEL (vapor) =","mg/l/6h/d",IF(B104="Chronic: LOAEL (gas) =","ppmV/6h/d")))</f>
        <v/>
      </c>
      <c r="G104" s="105" t="n"/>
      <c r="H104" s="108" t="n"/>
      <c r="I104" s="108" t="n"/>
      <c r="J104" s="108" t="n"/>
    </row>
    <row r="105">
      <c r="A105" s="105" t="n"/>
      <c r="B105" s="57" t="inlineStr">
        <is>
          <t xml:space="preserve">Boiling Point: </t>
        </is>
      </c>
      <c r="C105" s="114" t="n"/>
      <c r="D105" t="inlineStr">
        <is>
          <t>°C</t>
        </is>
      </c>
      <c r="G105" s="105" t="n"/>
      <c r="H105" s="108" t="n"/>
      <c r="I105" s="108" t="n"/>
      <c r="J105" s="108" t="n"/>
    </row>
    <row r="106">
      <c r="A106" s="105" t="n"/>
      <c r="B106" s="57" t="inlineStr">
        <is>
          <t>Inhalative Toxicity Comments:</t>
        </is>
      </c>
      <c r="G106" s="105" t="n"/>
      <c r="H106" s="108" t="n"/>
      <c r="I106" s="110" t="n"/>
      <c r="J106" s="110" t="n"/>
    </row>
    <row r="107">
      <c r="A107" s="105" t="n"/>
      <c r="G107" s="105" t="n"/>
      <c r="H107" s="108" t="n"/>
      <c r="I107" s="110" t="n"/>
      <c r="J107" s="110" t="n"/>
    </row>
    <row r="108" ht="8" customHeight="1" s="112">
      <c r="A108" s="40" t="n"/>
      <c r="B108" s="44" t="n"/>
      <c r="C108" s="41" t="n"/>
      <c r="D108" s="41" t="n"/>
      <c r="E108" s="41" t="n"/>
      <c r="F108" s="41" t="n"/>
      <c r="G108" s="42" t="n"/>
      <c r="H108" s="40" t="n"/>
      <c r="I108" s="47" t="n"/>
      <c r="J108" s="51" t="n"/>
    </row>
    <row r="109">
      <c r="A109" s="105" t="inlineStr">
        <is>
          <t>Dermal toxicity</t>
        </is>
      </c>
      <c r="B109" s="57" t="inlineStr">
        <is>
          <t>Dermal toxicity Acute Tox classified:</t>
        </is>
      </c>
      <c r="C109" s="73" t="n"/>
      <c r="D109" s="61" t="n"/>
      <c r="E109" s="61" t="n"/>
      <c r="F109" s="117" t="n"/>
      <c r="G109" s="105" t="n"/>
      <c r="H109" s="108" t="n"/>
      <c r="I109" s="115" t="n"/>
      <c r="J109" s="110" t="n"/>
    </row>
    <row r="110">
      <c r="A110" s="105" t="n"/>
      <c r="B110" s="57" t="inlineStr">
        <is>
          <t>Dermal toxicity STOT classified:</t>
        </is>
      </c>
      <c r="C110" s="73" t="n"/>
      <c r="D110" s="61" t="n"/>
      <c r="E110" s="61" t="n"/>
      <c r="F110" s="117" t="n"/>
      <c r="G110" s="105" t="n"/>
      <c r="H110" s="108" t="n"/>
      <c r="I110" s="108" t="n"/>
      <c r="J110" s="108" t="n"/>
    </row>
    <row r="111">
      <c r="A111" s="105" t="n"/>
      <c r="B111" s="57" t="inlineStr">
        <is>
          <t>Dermal Acute: LD50 =</t>
        </is>
      </c>
      <c r="C111" s="55" t="n"/>
      <c r="D111" t="inlineStr">
        <is>
          <t>mg/kg  bw</t>
        </is>
      </c>
      <c r="G111" s="105" t="n"/>
      <c r="H111" s="108" t="n"/>
      <c r="I111" s="108" t="n"/>
      <c r="J111" s="108" t="n"/>
    </row>
    <row r="112">
      <c r="B112" s="74" t="inlineStr">
        <is>
          <t>Dermal Chronic: LOAEL =</t>
        </is>
      </c>
      <c r="C112" s="55" t="n"/>
      <c r="D112" t="inlineStr">
        <is>
          <t>mg/kg  bw/day</t>
        </is>
      </c>
      <c r="G112" s="105" t="n"/>
      <c r="H112" s="108" t="n"/>
      <c r="I112" s="108" t="n"/>
      <c r="J112" s="108" t="n"/>
    </row>
    <row r="113">
      <c r="B113" s="74" t="inlineStr">
        <is>
          <t>Dermal Toxicity Comments:</t>
        </is>
      </c>
      <c r="G113" s="105" t="n"/>
      <c r="H113" s="108" t="n"/>
      <c r="I113" s="108" t="n"/>
      <c r="J113" s="108" t="n"/>
    </row>
    <row r="114">
      <c r="A114" s="105" t="n"/>
      <c r="B114" s="17" t="n"/>
      <c r="G114" s="105" t="n"/>
      <c r="H114" s="108" t="n"/>
      <c r="I114" s="108" t="n"/>
      <c r="J114" s="108" t="n"/>
    </row>
    <row r="115" ht="8" customHeight="1" s="112">
      <c r="A115" s="40" t="n"/>
      <c r="B115" s="44" t="n"/>
      <c r="C115" s="41" t="n"/>
      <c r="D115" s="41" t="n"/>
      <c r="E115" s="41" t="n"/>
      <c r="F115" s="41" t="n"/>
      <c r="G115" s="42" t="n"/>
      <c r="H115" s="40" t="n"/>
      <c r="I115" s="47" t="n"/>
      <c r="J115" s="51" t="n"/>
    </row>
    <row r="116">
      <c r="A116" s="105" t="inlineStr">
        <is>
          <t>Skin, Eye, Respiratory corrosion/irritation</t>
        </is>
      </c>
      <c r="B116" s="57" t="inlineStr">
        <is>
          <t>Skin irritation classification:</t>
        </is>
      </c>
      <c r="C116" s="73" t="n"/>
      <c r="D116" s="61" t="n"/>
      <c r="E116" s="61" t="n"/>
      <c r="F116" s="117" t="n"/>
      <c r="G116" s="105" t="n"/>
      <c r="H116" s="108" t="n"/>
      <c r="I116" s="115" t="n"/>
      <c r="J116" s="110" t="n"/>
    </row>
    <row r="117">
      <c r="A117" s="105" t="n"/>
      <c r="B117" s="57" t="inlineStr">
        <is>
          <t>Skin testing: conclusion:</t>
        </is>
      </c>
      <c r="C117" s="90" t="n"/>
      <c r="D117" s="91" t="n"/>
      <c r="E117" s="91" t="n"/>
      <c r="F117" s="92" t="n"/>
      <c r="G117" s="105" t="n"/>
      <c r="H117" s="108" t="n"/>
      <c r="I117" s="108" t="n"/>
      <c r="J117" s="108" t="n"/>
    </row>
    <row r="118">
      <c r="A118" s="105" t="n"/>
      <c r="B118" s="57" t="inlineStr">
        <is>
          <t>Eye irritation classification:</t>
        </is>
      </c>
      <c r="C118" s="73" t="n"/>
      <c r="D118" s="61" t="n"/>
      <c r="E118" s="61" t="n"/>
      <c r="F118" s="117" t="n"/>
      <c r="G118" s="105" t="n"/>
      <c r="H118" s="108" t="n"/>
      <c r="I118" s="108" t="n"/>
      <c r="J118" s="108" t="n"/>
    </row>
    <row r="119">
      <c r="A119" s="105" t="n"/>
      <c r="B119" s="57" t="inlineStr">
        <is>
          <t>Eye testing conclusion:</t>
        </is>
      </c>
      <c r="C119" s="90" t="n"/>
      <c r="D119" s="91" t="n"/>
      <c r="E119" s="91" t="n"/>
      <c r="F119" s="92" t="n"/>
      <c r="G119" s="105" t="n"/>
      <c r="H119" s="108" t="n"/>
      <c r="I119" s="108" t="n"/>
      <c r="J119" s="108" t="n"/>
    </row>
    <row r="120">
      <c r="A120" s="105" t="n"/>
      <c r="B120" s="57" t="inlineStr">
        <is>
          <t>Respiratory irritation classification:</t>
        </is>
      </c>
      <c r="C120" s="73" t="n"/>
      <c r="D120" s="61" t="n"/>
      <c r="E120" s="61" t="n"/>
      <c r="F120" s="117" t="n"/>
      <c r="G120" s="105" t="n"/>
      <c r="H120" s="108" t="n"/>
      <c r="I120" s="108" t="n"/>
      <c r="J120" s="108" t="n"/>
    </row>
    <row r="121">
      <c r="A121" s="105" t="n"/>
      <c r="B121" s="57" t="inlineStr">
        <is>
          <t>Respiratory testing conclusion:</t>
        </is>
      </c>
      <c r="C121" s="73" t="n"/>
      <c r="D121" s="61" t="n"/>
      <c r="E121" s="61" t="n"/>
      <c r="F121" s="117" t="n"/>
      <c r="G121" s="105" t="n"/>
      <c r="H121" s="108" t="n"/>
      <c r="I121" s="108" t="n"/>
      <c r="J121" s="108" t="n"/>
    </row>
    <row r="122">
      <c r="A122" s="105" t="n"/>
      <c r="B122" s="57" t="inlineStr">
        <is>
          <t>pH:</t>
        </is>
      </c>
      <c r="C122" s="114" t="n"/>
      <c r="D122" t="inlineStr">
        <is>
          <t>pH</t>
        </is>
      </c>
      <c r="G122" s="105" t="n"/>
      <c r="H122" s="108" t="n"/>
      <c r="I122" s="108" t="n"/>
      <c r="J122" s="108" t="n"/>
    </row>
    <row r="123">
      <c r="A123" s="105" t="n"/>
      <c r="G123" s="105" t="n"/>
      <c r="H123" s="108" t="n"/>
      <c r="I123" s="108" t="n"/>
      <c r="J123" s="108" t="n"/>
    </row>
    <row r="124" ht="8" customHeight="1" s="112">
      <c r="A124" s="40" t="n"/>
      <c r="B124" s="44" t="n"/>
      <c r="C124" s="41" t="n"/>
      <c r="D124" s="41" t="n"/>
      <c r="E124" s="41" t="n"/>
      <c r="F124" s="41" t="n"/>
      <c r="G124" s="42" t="n"/>
      <c r="H124" s="40" t="n"/>
      <c r="I124" s="47" t="n"/>
      <c r="J124" s="51" t="n"/>
    </row>
    <row r="125">
      <c r="A125" s="105" t="inlineStr">
        <is>
          <t>Sensitization</t>
        </is>
      </c>
      <c r="B125" s="57" t="inlineStr">
        <is>
          <t>Skin sensitization classification:</t>
        </is>
      </c>
      <c r="C125" s="73" t="n"/>
      <c r="D125" s="61" t="n"/>
      <c r="E125" s="61" t="n"/>
      <c r="F125" s="117" t="n"/>
      <c r="G125" s="105" t="n"/>
      <c r="H125" s="108" t="n"/>
      <c r="I125" s="93" t="n"/>
      <c r="J125" s="110" t="n"/>
    </row>
    <row r="126">
      <c r="A126" s="105" t="n"/>
      <c r="B126" s="57" t="inlineStr">
        <is>
          <t>Skin sensitization testing conclusion:</t>
        </is>
      </c>
      <c r="C126" s="90" t="n"/>
      <c r="D126" s="91" t="n"/>
      <c r="E126" s="91" t="n"/>
      <c r="F126" s="92" t="n"/>
      <c r="G126" s="105" t="n"/>
      <c r="H126" s="108" t="n"/>
      <c r="I126" s="105" t="n"/>
      <c r="J126" s="108" t="n"/>
    </row>
    <row r="127">
      <c r="A127" s="105" t="n"/>
      <c r="B127" s="57" t="inlineStr">
        <is>
          <t>Skin sensitization classified MAK:</t>
        </is>
      </c>
      <c r="C127" s="90" t="n"/>
      <c r="D127" s="91" t="n"/>
      <c r="E127" s="91" t="n"/>
      <c r="F127" s="92" t="n"/>
      <c r="G127" s="105" t="n"/>
      <c r="H127" s="108" t="n"/>
      <c r="I127" s="105" t="n"/>
      <c r="J127" s="108" t="n"/>
    </row>
    <row r="128" ht="16" customHeight="1" s="112">
      <c r="A128" s="105" t="n"/>
      <c r="B128" s="57" t="inlineStr">
        <is>
          <t>Inhalation sensitization classification:</t>
        </is>
      </c>
      <c r="C128" s="118" t="n"/>
      <c r="D128" s="61" t="n"/>
      <c r="E128" s="61" t="n"/>
      <c r="F128" s="117" t="n"/>
      <c r="G128" s="105" t="n"/>
      <c r="H128" s="108" t="n"/>
      <c r="I128" s="105" t="n"/>
      <c r="J128" s="108" t="n"/>
    </row>
    <row r="129" ht="16" customHeight="1" s="112">
      <c r="A129" s="105" t="n"/>
      <c r="B129" s="57" t="inlineStr">
        <is>
          <t>Inhalation sensitization testing conclusion:</t>
        </is>
      </c>
      <c r="C129" s="118" t="n"/>
      <c r="D129" s="61" t="n"/>
      <c r="E129" s="61" t="n"/>
      <c r="F129" s="117" t="n"/>
      <c r="G129" s="105" t="n"/>
      <c r="H129" s="108" t="n"/>
      <c r="I129" s="105" t="n"/>
      <c r="J129" s="108" t="n"/>
    </row>
    <row r="130" ht="16" customHeight="1" s="112">
      <c r="A130" s="105" t="n"/>
      <c r="B130" s="57" t="inlineStr">
        <is>
          <t>Inhalation sensitization classified MAK:</t>
        </is>
      </c>
      <c r="C130" s="118" t="n"/>
      <c r="D130" s="61" t="n"/>
      <c r="E130" s="61" t="n"/>
      <c r="F130" s="117" t="n"/>
      <c r="G130" s="105" t="n"/>
      <c r="H130" s="108" t="n"/>
      <c r="I130" s="105" t="n"/>
      <c r="J130" s="108" t="n"/>
    </row>
    <row r="131">
      <c r="A131" s="105" t="n"/>
      <c r="G131" s="105" t="n"/>
      <c r="H131" s="108" t="n"/>
      <c r="I131" s="105" t="n"/>
      <c r="J131" s="108" t="n"/>
    </row>
    <row r="132" ht="8" customHeight="1" s="112">
      <c r="A132" s="40" t="n"/>
      <c r="B132" s="44" t="n"/>
      <c r="C132" s="41" t="n"/>
      <c r="D132" s="41" t="n"/>
      <c r="E132" s="41" t="n"/>
      <c r="F132" s="41" t="n"/>
      <c r="G132" s="42" t="n"/>
      <c r="H132" s="40" t="n"/>
      <c r="I132" s="47" t="n"/>
      <c r="J132" s="51" t="n"/>
    </row>
    <row r="133" ht="8" customHeight="1" s="112">
      <c r="A133" s="105" t="n"/>
      <c r="B133" s="106" t="n"/>
      <c r="G133" s="105" t="n"/>
      <c r="H133" s="108" t="n"/>
      <c r="I133" s="115" t="n"/>
      <c r="J133" s="110" t="n"/>
    </row>
    <row r="134" ht="16" customHeight="1" s="112">
      <c r="A134" s="105" t="inlineStr">
        <is>
          <t>Specific Concentration Limits</t>
        </is>
      </c>
      <c r="B134" s="106" t="inlineStr">
        <is>
          <t>Hazard classification:</t>
        </is>
      </c>
      <c r="C134" s="111" t="n"/>
      <c r="D134" s="57" t="inlineStr">
        <is>
          <t>Lower Limit: (%)</t>
        </is>
      </c>
      <c r="E134" s="55" t="n"/>
      <c r="F134" s="57" t="inlineStr">
        <is>
          <t>Upper Limit: (%)</t>
        </is>
      </c>
      <c r="G134" s="55" t="n"/>
      <c r="H134" s="108" t="n"/>
      <c r="I134" s="115" t="n"/>
      <c r="J134" s="110" t="n"/>
    </row>
    <row r="135">
      <c r="A135" s="105" t="n"/>
      <c r="B135" s="106" t="inlineStr">
        <is>
          <t>Hazard classification:</t>
        </is>
      </c>
      <c r="C135" s="111" t="n"/>
      <c r="D135" s="57" t="inlineStr">
        <is>
          <t>Lower Limit: (%)</t>
        </is>
      </c>
      <c r="E135" s="55" t="n"/>
      <c r="F135" s="57" t="inlineStr">
        <is>
          <t>Upper Limit: (%)</t>
        </is>
      </c>
      <c r="G135" s="55" t="n"/>
      <c r="H135" s="108" t="n"/>
      <c r="I135" s="115" t="n"/>
      <c r="J135" s="110" t="n"/>
    </row>
    <row r="136">
      <c r="A136" s="105" t="n"/>
      <c r="B136" s="106" t="inlineStr">
        <is>
          <t>Hazard classification:</t>
        </is>
      </c>
      <c r="C136" s="111" t="n"/>
      <c r="D136" s="57" t="inlineStr">
        <is>
          <t>Lower Limit: (%)</t>
        </is>
      </c>
      <c r="E136" s="55" t="n"/>
      <c r="F136" s="57" t="inlineStr">
        <is>
          <t>Upper Limit: (%)</t>
        </is>
      </c>
      <c r="G136" s="55" t="n"/>
      <c r="H136" s="108" t="n"/>
      <c r="I136" s="115" t="n"/>
      <c r="J136" s="110" t="n"/>
    </row>
    <row r="137">
      <c r="A137" s="105" t="n"/>
      <c r="B137" s="106" t="inlineStr">
        <is>
          <t>Hazard classification:</t>
        </is>
      </c>
      <c r="C137" s="111" t="n"/>
      <c r="D137" s="57" t="inlineStr">
        <is>
          <t>Lower Limit: (%)</t>
        </is>
      </c>
      <c r="E137" s="55" t="n"/>
      <c r="F137" s="57" t="inlineStr">
        <is>
          <t>Upper Limit: (%)</t>
        </is>
      </c>
      <c r="G137" s="55" t="n"/>
      <c r="H137" s="108" t="n"/>
      <c r="I137" s="115" t="n"/>
      <c r="J137" s="110" t="n"/>
    </row>
    <row r="138">
      <c r="A138" s="105" t="n"/>
      <c r="B138" s="106" t="n"/>
      <c r="C138" s="106" t="n"/>
      <c r="D138" s="106" t="n"/>
      <c r="G138" s="105" t="n"/>
      <c r="H138" s="108" t="n"/>
      <c r="I138" s="115" t="n"/>
      <c r="J138" s="110" t="n"/>
    </row>
    <row r="139" ht="8" customHeight="1" s="112">
      <c r="A139" s="42" t="n"/>
      <c r="B139" s="101" t="n"/>
      <c r="C139" s="41" t="n"/>
      <c r="D139" s="41" t="n"/>
      <c r="E139" s="41" t="n"/>
      <c r="F139" s="41" t="n"/>
      <c r="G139" s="42" t="n"/>
      <c r="H139" s="40" t="n"/>
      <c r="I139" s="47" t="n"/>
      <c r="J139" s="51" t="n"/>
    </row>
    <row r="140">
      <c r="A140" s="105" t="inlineStr">
        <is>
          <t>Other</t>
        </is>
      </c>
      <c r="B140" s="57" t="n"/>
      <c r="G140" s="105" t="n"/>
      <c r="H140" s="108" t="n"/>
      <c r="I140" s="83" t="n"/>
      <c r="J140" s="84" t="n"/>
    </row>
    <row r="141">
      <c r="A141" s="27" t="n"/>
      <c r="B141" s="33" t="n"/>
      <c r="C141" s="29" t="n"/>
      <c r="D141" s="29" t="n"/>
      <c r="E141" s="29" t="n"/>
      <c r="F141" s="29" t="n"/>
      <c r="G141" s="27" t="n"/>
      <c r="H141" s="26" t="n"/>
      <c r="I141" s="26" t="n"/>
      <c r="J141" s="26" t="n"/>
    </row>
    <row r="142">
      <c r="A142" s="61" t="n"/>
      <c r="H142" s="61" t="n"/>
      <c r="I142" s="61" t="n"/>
      <c r="J142" s="62" t="n"/>
    </row>
    <row r="143">
      <c r="A143" s="5" t="inlineStr">
        <is>
          <t>Criteria</t>
        </is>
      </c>
      <c r="B143" s="97" t="inlineStr">
        <is>
          <t>Value</t>
        </is>
      </c>
      <c r="C143" s="98" t="n"/>
      <c r="D143" s="98" t="n"/>
      <c r="E143" s="98" t="n"/>
      <c r="F143" s="98" t="n"/>
      <c r="G143" s="99" t="n"/>
      <c r="H143" s="5" t="n"/>
      <c r="I143" s="6" t="n"/>
      <c r="J143" s="5" t="inlineStr">
        <is>
          <t>Assessment</t>
        </is>
      </c>
    </row>
    <row r="144">
      <c r="A144" s="21" t="inlineStr">
        <is>
          <t>ENVIRONMENTAL HEALTH</t>
        </is>
      </c>
      <c r="B144" s="22" t="n"/>
      <c r="C144" s="23" t="n"/>
      <c r="D144" s="23" t="n"/>
      <c r="E144" s="23" t="n"/>
      <c r="F144" s="23" t="n"/>
      <c r="G144" s="24" t="n"/>
      <c r="H144" s="21" t="n"/>
      <c r="I144" s="24" t="n"/>
      <c r="J144" s="24" t="n"/>
    </row>
    <row r="145" ht="16" customHeight="1" s="112">
      <c r="A145" s="105" t="inlineStr">
        <is>
          <t>Fish toxicity</t>
        </is>
      </c>
      <c r="B145" s="57" t="inlineStr">
        <is>
          <t>Aquatic toxicity Acute Tox classified:</t>
        </is>
      </c>
      <c r="C145" s="118" t="n"/>
      <c r="D145" s="61" t="n"/>
      <c r="E145" s="61" t="n"/>
      <c r="F145" s="117" t="n"/>
      <c r="G145" s="105" t="n"/>
      <c r="H145" s="108" t="n"/>
      <c r="I145" s="88" t="n"/>
      <c r="J145" s="89" t="n"/>
    </row>
    <row r="146" ht="16" customHeight="1" s="112">
      <c r="A146" s="105" t="n"/>
      <c r="B146" s="57" t="inlineStr">
        <is>
          <t>Aquatic toxicity Chronic Tox classified:</t>
        </is>
      </c>
      <c r="C146" s="118" t="n"/>
      <c r="D146" s="61" t="n"/>
      <c r="E146" s="61" t="n"/>
      <c r="F146" s="117" t="n"/>
      <c r="G146" s="105" t="n"/>
      <c r="H146" s="108" t="n"/>
      <c r="I146" s="108" t="n"/>
      <c r="J146" s="108" t="n"/>
    </row>
    <row r="147">
      <c r="A147" s="105" t="n"/>
      <c r="B147" s="57" t="inlineStr">
        <is>
          <t>Fish toxicity Acute: LC50 (96h) =</t>
        </is>
      </c>
      <c r="C147" s="55" t="n"/>
      <c r="D147" t="inlineStr">
        <is>
          <t>mg/L</t>
        </is>
      </c>
      <c r="G147" s="105" t="n"/>
      <c r="H147" s="108" t="n"/>
      <c r="I147" s="108" t="n"/>
      <c r="J147" s="108" t="n"/>
    </row>
    <row r="148">
      <c r="A148" s="105" t="n"/>
      <c r="B148" s="57" t="inlineStr">
        <is>
          <t>Fish toxicity Chronic: NOEC =</t>
        </is>
      </c>
      <c r="C148" s="65" t="n"/>
      <c r="D148" t="inlineStr">
        <is>
          <t>mg/L</t>
        </is>
      </c>
      <c r="G148" s="105" t="n"/>
      <c r="H148" s="108" t="n"/>
      <c r="I148" s="108" t="n"/>
      <c r="J148" s="108" t="n"/>
    </row>
    <row r="149">
      <c r="A149" s="105" t="n"/>
      <c r="B149" s="57" t="inlineStr">
        <is>
          <t>Fish toxicity Acute QSAR: LC50 =</t>
        </is>
      </c>
      <c r="C149" s="65" t="n"/>
      <c r="G149" s="105" t="n"/>
      <c r="H149" s="108" t="n"/>
      <c r="I149" s="108" t="n"/>
      <c r="J149" s="108" t="n"/>
    </row>
    <row r="150">
      <c r="A150" s="105" t="n"/>
      <c r="B150" s="57" t="inlineStr">
        <is>
          <t>Fish toxicity Chronic QSAR: NOAEL =</t>
        </is>
      </c>
      <c r="C150" s="65" t="n"/>
      <c r="G150" s="105" t="n"/>
      <c r="H150" s="108" t="n"/>
      <c r="I150" s="108" t="n"/>
      <c r="J150" s="108" t="n"/>
    </row>
    <row r="151">
      <c r="A151" s="105" t="n"/>
      <c r="B151" s="57" t="inlineStr">
        <is>
          <t>Water solubility:</t>
        </is>
      </c>
      <c r="C151" s="55" t="n"/>
      <c r="D151" t="inlineStr">
        <is>
          <t>mg/L</t>
        </is>
      </c>
      <c r="G151" s="105" t="n"/>
      <c r="H151" s="108" t="n"/>
      <c r="I151" s="108" t="n"/>
      <c r="J151" s="108" t="n"/>
    </row>
    <row r="152">
      <c r="A152" s="105" t="n"/>
      <c r="B152" s="57" t="inlineStr">
        <is>
          <t xml:space="preserve">M factor: </t>
        </is>
      </c>
      <c r="C152" s="55" t="n"/>
      <c r="G152" s="105" t="n"/>
      <c r="H152" s="108" t="n"/>
      <c r="I152" s="108" t="n"/>
      <c r="J152" s="108" t="n"/>
    </row>
    <row r="153">
      <c r="A153" s="105" t="n"/>
      <c r="B153" s="57" t="n"/>
      <c r="G153" s="105" t="n"/>
      <c r="H153" s="108" t="n"/>
      <c r="I153" s="115" t="n"/>
      <c r="J153" s="110" t="n"/>
    </row>
    <row r="154" ht="8" customHeight="1" s="112">
      <c r="A154" s="40" t="n"/>
      <c r="B154" s="75" t="n"/>
      <c r="C154" s="41" t="n"/>
      <c r="D154" s="41" t="n"/>
      <c r="E154" s="41" t="n"/>
      <c r="F154" s="41" t="n"/>
      <c r="G154" s="42" t="n"/>
      <c r="H154" s="40" t="n"/>
      <c r="I154" s="47" t="n"/>
      <c r="J154" s="51" t="n"/>
    </row>
    <row r="155" ht="16" customHeight="1" s="112">
      <c r="A155" s="105" t="inlineStr">
        <is>
          <t>Invertebrate toxicity</t>
        </is>
      </c>
      <c r="B155" s="57" t="inlineStr">
        <is>
          <t>Aquatic toxicity Acute Tox classified:</t>
        </is>
      </c>
      <c r="C155" s="118" t="n"/>
      <c r="D155" s="61" t="n"/>
      <c r="E155" s="61" t="n"/>
      <c r="F155" s="117" t="n"/>
      <c r="G155" s="105" t="n"/>
      <c r="H155" s="108" t="n"/>
      <c r="I155" s="88" t="n"/>
      <c r="J155" s="110" t="n"/>
    </row>
    <row r="156" ht="16" customHeight="1" s="112">
      <c r="A156" s="105" t="n"/>
      <c r="B156" s="57" t="inlineStr">
        <is>
          <t>Aquatic toxicity Chronic Tox classified:</t>
        </is>
      </c>
      <c r="C156" s="118" t="n"/>
      <c r="D156" s="61" t="n"/>
      <c r="E156" s="61" t="n"/>
      <c r="F156" s="117" t="n"/>
      <c r="G156" s="105" t="n"/>
      <c r="H156" s="108" t="n"/>
      <c r="I156" s="108" t="n"/>
      <c r="J156" s="108" t="n"/>
    </row>
    <row r="157">
      <c r="A157" s="105" t="n"/>
      <c r="B157" s="57" t="inlineStr">
        <is>
          <t>Invertebrate toxicity Acute: L(E)C50 (48h) =</t>
        </is>
      </c>
      <c r="C157" s="55" t="n"/>
      <c r="D157" t="inlineStr">
        <is>
          <t>mg/L</t>
        </is>
      </c>
      <c r="G157" s="105" t="n"/>
      <c r="H157" s="108" t="n"/>
      <c r="I157" s="108" t="n"/>
      <c r="J157" s="108" t="n"/>
    </row>
    <row r="158">
      <c r="A158" s="105" t="n"/>
      <c r="B158" s="57" t="inlineStr">
        <is>
          <t>Invertebrae toxicity Chronic: NOEC =</t>
        </is>
      </c>
      <c r="C158" s="55" t="n"/>
      <c r="D158" t="inlineStr">
        <is>
          <t>mg/L</t>
        </is>
      </c>
      <c r="G158" s="105" t="n"/>
      <c r="H158" s="108" t="n"/>
      <c r="I158" s="108" t="n"/>
      <c r="J158" s="108" t="n"/>
    </row>
    <row r="159">
      <c r="A159" s="105" t="n"/>
      <c r="B159" s="57" t="inlineStr">
        <is>
          <t>Invertebrae toxicity Acute QSAR: LC50 =</t>
        </is>
      </c>
      <c r="C159" s="55" t="n"/>
      <c r="G159" s="105" t="n"/>
      <c r="H159" s="108" t="n"/>
      <c r="I159" s="108" t="n"/>
      <c r="J159" s="108" t="n"/>
    </row>
    <row r="160">
      <c r="A160" s="105" t="n"/>
      <c r="B160" s="57" t="inlineStr">
        <is>
          <t>Invertebrae toxicity Chronic QSAR: NOAEL =</t>
        </is>
      </c>
      <c r="C160" s="55" t="n"/>
      <c r="G160" s="105" t="n"/>
      <c r="H160" s="108" t="n"/>
      <c r="I160" s="108" t="n"/>
      <c r="J160" s="108" t="n"/>
    </row>
    <row r="161">
      <c r="A161" s="105" t="n"/>
      <c r="B161" s="57" t="inlineStr">
        <is>
          <t>Water solubility:</t>
        </is>
      </c>
      <c r="C161" s="55" t="n"/>
      <c r="D161" t="inlineStr">
        <is>
          <t>mg/L</t>
        </is>
      </c>
      <c r="G161" s="105" t="n"/>
      <c r="H161" s="108" t="n"/>
      <c r="I161" s="108" t="n"/>
      <c r="J161" s="108" t="n"/>
    </row>
    <row r="162">
      <c r="A162" s="105" t="n"/>
      <c r="B162" s="57" t="inlineStr">
        <is>
          <t xml:space="preserve">M factor: </t>
        </is>
      </c>
      <c r="C162" s="55" t="n"/>
      <c r="G162" s="105" t="n"/>
      <c r="H162" s="108" t="n"/>
      <c r="I162" s="108" t="n"/>
      <c r="J162" s="108" t="n"/>
    </row>
    <row r="163">
      <c r="A163" s="105" t="n"/>
      <c r="B163" s="57" t="n"/>
      <c r="G163" s="105" t="n"/>
      <c r="H163" s="108" t="n"/>
      <c r="I163" s="115" t="n"/>
      <c r="J163" s="110" t="n"/>
    </row>
    <row r="164" ht="8" customHeight="1" s="112">
      <c r="A164" s="40" t="n"/>
      <c r="B164" s="75" t="n"/>
      <c r="C164" s="41" t="n"/>
      <c r="D164" s="41" t="n"/>
      <c r="E164" s="41" t="n"/>
      <c r="F164" s="41" t="n"/>
      <c r="G164" s="42" t="n"/>
      <c r="H164" s="40" t="n"/>
      <c r="I164" s="47" t="n"/>
      <c r="J164" s="51" t="n"/>
    </row>
    <row r="165" ht="16" customHeight="1" s="112">
      <c r="A165" s="105" t="inlineStr">
        <is>
          <t>Algae toxicity</t>
        </is>
      </c>
      <c r="B165" s="57" t="inlineStr">
        <is>
          <t>Aquatic toxicity Acute Tox classified:</t>
        </is>
      </c>
      <c r="C165" s="118" t="n"/>
      <c r="D165" s="61" t="n"/>
      <c r="E165" s="61" t="n"/>
      <c r="F165" s="117" t="n"/>
      <c r="G165" s="105" t="n"/>
      <c r="H165" s="108" t="n"/>
      <c r="I165" s="88" t="n"/>
      <c r="J165" s="110" t="n"/>
    </row>
    <row r="166" ht="16" customHeight="1" s="112">
      <c r="A166" s="105" t="n"/>
      <c r="B166" s="57" t="inlineStr">
        <is>
          <t>Aquatic toxicity Chronic Tox classified:</t>
        </is>
      </c>
      <c r="C166" s="118" t="n"/>
      <c r="D166" s="61" t="n"/>
      <c r="E166" s="61" t="n"/>
      <c r="F166" s="117" t="n"/>
      <c r="G166" s="105" t="n"/>
      <c r="H166" s="105" t="n"/>
      <c r="I166" s="108" t="n"/>
      <c r="J166" s="108" t="n"/>
    </row>
    <row r="167">
      <c r="A167" s="105" t="n"/>
      <c r="B167" s="57" t="inlineStr">
        <is>
          <t>Algae toxicity Acute: L(E)C50 (72/96h) =</t>
        </is>
      </c>
      <c r="C167" s="56" t="n"/>
      <c r="D167" t="inlineStr">
        <is>
          <t>mg/L</t>
        </is>
      </c>
      <c r="G167" s="105" t="n"/>
      <c r="H167" s="105" t="n"/>
      <c r="I167" s="108" t="n"/>
      <c r="J167" s="108" t="n"/>
    </row>
    <row r="168">
      <c r="A168" s="105" t="n"/>
      <c r="B168" s="57" t="inlineStr">
        <is>
          <t>Algae toxicity Chronic: NOEC =</t>
        </is>
      </c>
      <c r="C168" s="55" t="n"/>
      <c r="D168" t="inlineStr">
        <is>
          <t>mg/L</t>
        </is>
      </c>
      <c r="G168" s="105" t="n"/>
      <c r="H168" s="105" t="n"/>
      <c r="I168" s="108" t="n"/>
      <c r="J168" s="108" t="n"/>
    </row>
    <row r="169">
      <c r="A169" s="105" t="n"/>
      <c r="B169" s="57" t="inlineStr">
        <is>
          <t>Algae toxicity Acute QSAR: LC50 =</t>
        </is>
      </c>
      <c r="C169" s="55" t="n"/>
      <c r="G169" s="105" t="n"/>
      <c r="H169" s="105" t="n"/>
      <c r="I169" s="108" t="n"/>
      <c r="J169" s="108" t="n"/>
    </row>
    <row r="170">
      <c r="A170" s="105" t="n"/>
      <c r="B170" s="57" t="inlineStr">
        <is>
          <t>Algae toxicity Chronic QSAR: NOAEL =</t>
        </is>
      </c>
      <c r="C170" s="55" t="n"/>
      <c r="G170" s="105" t="n"/>
      <c r="H170" s="105" t="n"/>
      <c r="I170" s="108" t="n"/>
      <c r="J170" s="108" t="n"/>
    </row>
    <row r="171">
      <c r="A171" s="105" t="n"/>
      <c r="B171" s="57" t="inlineStr">
        <is>
          <t>Water solubility:</t>
        </is>
      </c>
      <c r="C171" s="55" t="n"/>
      <c r="D171" t="inlineStr">
        <is>
          <t>mg/L</t>
        </is>
      </c>
      <c r="G171" s="105" t="n"/>
      <c r="H171" s="105" t="n"/>
      <c r="I171" s="108" t="n"/>
      <c r="J171" s="108" t="n"/>
    </row>
    <row r="172">
      <c r="A172" s="105" t="n"/>
      <c r="B172" s="57" t="inlineStr">
        <is>
          <t xml:space="preserve">M factor: </t>
        </is>
      </c>
      <c r="C172" s="55" t="n"/>
      <c r="G172" s="105" t="n"/>
      <c r="H172" s="105" t="n"/>
      <c r="I172" s="108" t="n"/>
      <c r="J172" s="108" t="n"/>
    </row>
    <row r="173">
      <c r="A173" s="105" t="n"/>
      <c r="G173" s="105" t="n"/>
      <c r="H173" s="105" t="n"/>
      <c r="I173" s="115" t="n"/>
      <c r="J173" s="110" t="n"/>
    </row>
    <row r="174" ht="6" customHeight="1" s="112">
      <c r="A174" s="40" t="n"/>
      <c r="B174" s="44" t="n"/>
      <c r="C174" s="41" t="n"/>
      <c r="D174" s="41" t="n"/>
      <c r="E174" s="41" t="n"/>
      <c r="F174" s="41" t="n"/>
      <c r="G174" s="42" t="n"/>
      <c r="H174" s="40" t="n"/>
      <c r="I174" s="47" t="n"/>
      <c r="J174" s="51" t="n"/>
    </row>
    <row r="175">
      <c r="A175" s="105" t="inlineStr">
        <is>
          <t>Terrestrial toxicity</t>
        </is>
      </c>
      <c r="B175" s="57" t="inlineStr">
        <is>
          <t>Terrestial toxicity CLP classification:</t>
        </is>
      </c>
      <c r="G175" s="105" t="n"/>
      <c r="H175" s="105" t="n"/>
      <c r="I175" s="82" t="n"/>
      <c r="J175" s="110" t="n"/>
    </row>
    <row r="176">
      <c r="A176" s="105" t="n"/>
      <c r="B176" s="57" t="n"/>
      <c r="G176" s="105" t="n"/>
      <c r="H176" s="105" t="n"/>
      <c r="I176" s="108" t="n"/>
      <c r="J176" s="108" t="n"/>
    </row>
    <row r="177">
      <c r="A177" s="105" t="n"/>
      <c r="B177" s="57" t="n"/>
      <c r="G177" s="105" t="n"/>
      <c r="H177" s="105" t="n"/>
      <c r="I177" s="108" t="n"/>
      <c r="J177" s="108" t="n"/>
    </row>
    <row r="178">
      <c r="A178" s="105" t="n"/>
      <c r="B178" s="57" t="n"/>
      <c r="G178" s="105" t="n"/>
      <c r="H178" s="105" t="n"/>
      <c r="I178" s="108" t="n"/>
      <c r="J178" s="108" t="n"/>
    </row>
    <row r="179">
      <c r="A179" s="105" t="n"/>
      <c r="B179" s="57" t="n"/>
      <c r="G179" s="105" t="n"/>
      <c r="H179" s="105" t="n"/>
      <c r="I179" s="108" t="n"/>
      <c r="J179" s="108" t="n"/>
    </row>
    <row r="180">
      <c r="A180" s="105" t="n"/>
      <c r="G180" s="105" t="n"/>
      <c r="H180" s="105" t="n"/>
      <c r="I180" s="108" t="n"/>
      <c r="J180" s="108" t="n"/>
    </row>
    <row r="181" ht="8" customHeight="1" s="112">
      <c r="A181" s="40" t="n"/>
      <c r="B181" s="44" t="n"/>
      <c r="C181" s="41" t="n"/>
      <c r="D181" s="41" t="n"/>
      <c r="E181" s="41" t="n"/>
      <c r="F181" s="41" t="n"/>
      <c r="G181" s="42" t="n"/>
      <c r="H181" s="40" t="n"/>
      <c r="I181" s="47" t="n"/>
      <c r="J181" s="51" t="n"/>
    </row>
    <row r="182">
      <c r="A182" s="105" t="inlineStr">
        <is>
          <t>Other species toxicity</t>
        </is>
      </c>
      <c r="B182" s="57" t="inlineStr">
        <is>
          <t>Any other CLP species classification:</t>
        </is>
      </c>
      <c r="G182" s="105" t="n"/>
      <c r="H182" s="105" t="n"/>
      <c r="I182" s="82" t="n"/>
      <c r="J182" s="110" t="n"/>
    </row>
    <row r="183">
      <c r="A183" s="105" t="n"/>
      <c r="G183" s="105" t="n"/>
      <c r="H183" s="105" t="n"/>
      <c r="I183" s="108" t="n"/>
      <c r="J183" s="108" t="n"/>
    </row>
    <row r="184" ht="8" customHeight="1" s="112">
      <c r="A184" s="40" t="n"/>
      <c r="B184" s="44" t="n"/>
      <c r="C184" s="41" t="n"/>
      <c r="D184" s="41" t="n"/>
      <c r="E184" s="41" t="n"/>
      <c r="F184" s="41" t="n"/>
      <c r="G184" s="42" t="n"/>
      <c r="H184" s="40" t="n"/>
      <c r="I184" s="47" t="n"/>
      <c r="J184" s="51" t="n"/>
    </row>
    <row r="185">
      <c r="A185" s="105" t="inlineStr">
        <is>
          <t>Persistence</t>
        </is>
      </c>
      <c r="B185" s="57" t="inlineStr">
        <is>
          <t>OECD 301: % DOC biodegradation after 28 days:</t>
        </is>
      </c>
      <c r="C185" s="55" t="n"/>
      <c r="G185" s="105" t="n"/>
      <c r="H185" s="105" t="n"/>
      <c r="I185" s="115" t="n"/>
      <c r="J185" s="110" t="n"/>
    </row>
    <row r="186">
      <c r="A186" s="105" t="n"/>
      <c r="B186" s="57" t="inlineStr">
        <is>
          <t>OECD 301: % ThOD biodegradation after 28 days:</t>
        </is>
      </c>
      <c r="C186" s="55" t="n"/>
      <c r="G186" s="105" t="n"/>
      <c r="H186" s="105" t="n"/>
      <c r="I186" s="108" t="n"/>
      <c r="J186" s="108" t="n"/>
    </row>
    <row r="187">
      <c r="A187" s="105" t="n"/>
      <c r="B187" s="57" t="inlineStr">
        <is>
          <t xml:space="preserve">OECD 302 or OECD 304A: % inherent biodegradation: </t>
        </is>
      </c>
      <c r="C187" s="55" t="n"/>
      <c r="G187" s="105" t="n"/>
      <c r="H187" s="105" t="n"/>
      <c r="I187" s="108" t="n"/>
      <c r="J187" s="108" t="n"/>
    </row>
    <row r="188">
      <c r="A188" s="105" t="n"/>
      <c r="B188" s="57" t="inlineStr">
        <is>
          <t>QSAR prediction:</t>
        </is>
      </c>
      <c r="C188" s="55" t="n"/>
      <c r="G188" s="105" t="n"/>
      <c r="H188" s="105" t="n"/>
      <c r="I188" s="108" t="n"/>
      <c r="J188" s="108" t="n"/>
    </row>
    <row r="189">
      <c r="A189" s="105" t="n"/>
      <c r="B189" s="57" t="inlineStr">
        <is>
          <t>Degradation halflife time in air:</t>
        </is>
      </c>
      <c r="C189" s="55" t="n"/>
      <c r="G189" s="105" t="n"/>
      <c r="H189" s="105" t="n"/>
      <c r="I189" s="108" t="n"/>
      <c r="J189" s="108" t="n"/>
    </row>
    <row r="190">
      <c r="A190" s="105" t="n"/>
      <c r="B190" s="57" t="inlineStr">
        <is>
          <t>Degradation halflife time in water</t>
        </is>
      </c>
      <c r="C190" s="55" t="n"/>
      <c r="G190" s="105" t="n"/>
      <c r="H190" s="105" t="n"/>
      <c r="I190" s="108" t="n"/>
      <c r="J190" s="108" t="n"/>
    </row>
    <row r="191">
      <c r="A191" s="105" t="n"/>
      <c r="B191" s="57" t="inlineStr">
        <is>
          <t>soil or sediment:</t>
        </is>
      </c>
      <c r="C191" s="55" t="n"/>
      <c r="G191" s="105" t="n"/>
      <c r="H191" s="105" t="n"/>
      <c r="I191" s="108" t="n"/>
      <c r="J191" s="108" t="n"/>
    </row>
    <row r="192">
      <c r="A192" s="105" t="n"/>
      <c r="B192" s="57" t="inlineStr">
        <is>
          <t>Persistence comments:</t>
        </is>
      </c>
      <c r="G192" s="105" t="n"/>
      <c r="H192" s="105" t="n"/>
      <c r="I192" s="115" t="n"/>
      <c r="J192" s="110" t="n"/>
    </row>
    <row r="193">
      <c r="A193" s="105" t="n"/>
      <c r="G193" s="105" t="n"/>
      <c r="H193" s="105" t="n"/>
      <c r="I193" s="115" t="n"/>
      <c r="J193" s="110" t="n"/>
    </row>
    <row r="194" ht="8" customHeight="1" s="112">
      <c r="A194" s="40" t="n"/>
      <c r="B194" s="44" t="n"/>
      <c r="C194" s="41" t="n"/>
      <c r="D194" s="41" t="n"/>
      <c r="E194" s="41" t="n"/>
      <c r="F194" s="41" t="n"/>
      <c r="G194" s="42" t="n"/>
      <c r="H194" s="40" t="n"/>
      <c r="I194" s="47" t="n"/>
      <c r="J194" s="51" t="n"/>
    </row>
    <row r="195">
      <c r="A195" s="105" t="inlineStr">
        <is>
          <t>Bioaccumulation</t>
        </is>
      </c>
      <c r="B195" s="64" t="inlineStr">
        <is>
          <t>BCF/BAF (experimental):</t>
        </is>
      </c>
      <c r="C195" s="55" t="n"/>
      <c r="G195" s="105" t="n"/>
      <c r="H195" s="105" t="n"/>
      <c r="I195" s="115" t="n"/>
      <c r="J195" s="110" t="n"/>
    </row>
    <row r="196">
      <c r="A196" s="105" t="n"/>
      <c r="B196" s="64" t="inlineStr">
        <is>
          <t>BCF/BAF (QSAR):</t>
        </is>
      </c>
      <c r="C196" s="55" t="n"/>
      <c r="E196" s="64" t="n"/>
      <c r="G196" s="105" t="n"/>
      <c r="H196" s="105" t="n"/>
      <c r="I196" s="108" t="n"/>
      <c r="J196" s="108" t="n"/>
    </row>
    <row r="197">
      <c r="A197" s="105" t="n"/>
      <c r="B197" s="57" t="inlineStr">
        <is>
          <t>Log kow:</t>
        </is>
      </c>
      <c r="C197" s="114" t="n"/>
      <c r="G197" s="105" t="n"/>
      <c r="H197" s="105" t="n"/>
      <c r="I197" s="108" t="n"/>
      <c r="J197" s="108" t="n"/>
    </row>
    <row r="198">
      <c r="A198" s="105" t="n"/>
      <c r="B198" s="57" t="inlineStr">
        <is>
          <t>Molecular weight:</t>
        </is>
      </c>
      <c r="C198" s="55" t="n"/>
      <c r="D198" t="inlineStr">
        <is>
          <t>g/mol</t>
        </is>
      </c>
      <c r="G198" s="105" t="n"/>
      <c r="H198" s="105" t="n"/>
      <c r="I198" s="108" t="n"/>
      <c r="J198" s="108" t="n"/>
    </row>
    <row r="199">
      <c r="A199" s="105" t="n"/>
      <c r="B199" s="57" t="inlineStr">
        <is>
          <t>Bioaccumulation comments:</t>
        </is>
      </c>
      <c r="G199" s="105" t="n"/>
      <c r="H199" s="105" t="n"/>
      <c r="I199" s="108" t="n"/>
      <c r="J199" s="108" t="n"/>
    </row>
    <row r="200">
      <c r="A200" s="105" t="n"/>
      <c r="G200" s="105" t="n"/>
      <c r="H200" s="105" t="n"/>
      <c r="I200" s="108" t="n"/>
      <c r="J200" s="108" t="n"/>
    </row>
    <row r="201" ht="8" customHeight="1" s="112">
      <c r="A201" s="40" t="n"/>
      <c r="B201" s="44" t="n"/>
      <c r="C201" s="41" t="n"/>
      <c r="D201" s="41" t="n"/>
      <c r="E201" s="41" t="n"/>
      <c r="F201" s="41" t="n"/>
      <c r="G201" s="42" t="n"/>
      <c r="H201" s="40" t="n"/>
      <c r="I201" s="47" t="n"/>
      <c r="J201" s="51" t="n"/>
    </row>
    <row r="202" ht="51" customHeight="1" s="112">
      <c r="A202" s="105" t="inlineStr">
        <is>
          <t>Combined PB risk flag</t>
        </is>
      </c>
      <c r="B202" s="102" t="inlineStr">
        <is>
          <t xml:space="preserve">Score grey/x/c/b/a/purple is automatically determined based on input in persistence and bioaccumulation endpoints. </t>
        </is>
      </c>
      <c r="G202" s="105" t="n"/>
      <c r="H202" s="105" t="n"/>
      <c r="I202" s="105" t="n"/>
      <c r="J202" s="105" t="n"/>
    </row>
    <row r="203" ht="17" customHeight="1" s="112">
      <c r="A203" s="105" t="n"/>
      <c r="G203" s="105" t="n"/>
      <c r="H203" s="105" t="n"/>
      <c r="I203" s="105" t="n"/>
      <c r="J203" s="105" t="n"/>
    </row>
    <row r="204" ht="8" customHeight="1" s="112">
      <c r="A204" s="42" t="n"/>
      <c r="B204" s="101" t="n"/>
      <c r="C204" s="41" t="n"/>
      <c r="D204" s="41" t="n"/>
      <c r="E204" s="41" t="n"/>
      <c r="F204" s="41" t="n"/>
      <c r="G204" s="42" t="n"/>
      <c r="H204" s="42" t="n"/>
      <c r="I204" s="47" t="n"/>
      <c r="J204" s="51" t="n"/>
    </row>
    <row r="205" ht="51" customHeight="1" s="112">
      <c r="A205" s="105" t="inlineStr">
        <is>
          <t>Combined aquatic risk flag</t>
        </is>
      </c>
      <c r="B205" s="102" t="inlineStr">
        <is>
          <t xml:space="preserve">Score grey/x/c/b/a/purple is automatically determined based on input in persistence and bioaccumulation endpoints. </t>
        </is>
      </c>
      <c r="G205" s="105" t="n"/>
      <c r="H205" s="105" t="n"/>
      <c r="I205" s="105" t="n"/>
      <c r="J205" s="105" t="n"/>
    </row>
    <row r="206">
      <c r="A206" s="105" t="n"/>
      <c r="G206" s="105" t="n"/>
      <c r="H206" s="105" t="n"/>
      <c r="I206" s="105" t="n"/>
      <c r="J206" s="105" t="n"/>
    </row>
    <row r="207" ht="8" customHeight="1" s="112">
      <c r="A207" s="42" t="n"/>
      <c r="B207" s="101" t="n"/>
      <c r="C207" s="41" t="n"/>
      <c r="D207" s="41" t="n"/>
      <c r="E207" s="41" t="n"/>
      <c r="F207" s="41" t="n"/>
      <c r="G207" s="42" t="n"/>
      <c r="H207" s="42" t="n"/>
      <c r="I207" s="47" t="n"/>
      <c r="J207" s="51" t="n"/>
    </row>
    <row r="208" ht="15" customHeight="1" s="112">
      <c r="A208" s="105" t="inlineStr">
        <is>
          <t>Climatic relevance/ozone depletion potential</t>
        </is>
      </c>
      <c r="B208" s="57" t="inlineStr">
        <is>
          <t>100 year GWP</t>
        </is>
      </c>
      <c r="C208" s="55" t="n"/>
      <c r="G208" s="105" t="n"/>
      <c r="H208" s="105" t="n"/>
      <c r="I208" s="115" t="n"/>
      <c r="J208" s="110" t="n"/>
    </row>
    <row r="209" ht="15" customHeight="1" s="112">
      <c r="A209" s="105" t="n"/>
      <c r="B209" s="57" t="inlineStr">
        <is>
          <t>ODP</t>
        </is>
      </c>
      <c r="C209" s="55" t="n"/>
      <c r="G209" s="105" t="n"/>
      <c r="H209" s="105" t="n"/>
      <c r="I209" s="108" t="n"/>
      <c r="J209" s="108" t="n"/>
    </row>
    <row r="210" ht="15" customHeight="1" s="112">
      <c r="A210" s="105" t="n"/>
      <c r="B210" s="57" t="inlineStr">
        <is>
          <t>Boiling Point</t>
        </is>
      </c>
      <c r="C210" s="114" t="n"/>
      <c r="G210" s="105" t="n"/>
      <c r="H210" s="105" t="n"/>
      <c r="I210" s="108" t="n"/>
      <c r="J210" s="108" t="n"/>
    </row>
    <row r="211" ht="15" customHeight="1" s="112">
      <c r="A211" s="105" t="n"/>
      <c r="B211" s="57" t="inlineStr">
        <is>
          <t>Organohalogen</t>
        </is>
      </c>
      <c r="C211" s="114" t="n"/>
      <c r="G211" s="105" t="n"/>
      <c r="H211" s="105" t="n"/>
      <c r="I211" s="108" t="n"/>
      <c r="J211" s="108" t="n"/>
    </row>
    <row r="212" ht="15" customHeight="1" s="112">
      <c r="A212" s="105" t="n"/>
      <c r="B212" s="57" t="inlineStr">
        <is>
          <t>Climatic relevance comments:</t>
        </is>
      </c>
      <c r="G212" s="105" t="n"/>
      <c r="H212" s="105" t="n"/>
      <c r="I212" s="108" t="n"/>
      <c r="J212" s="108" t="n"/>
    </row>
    <row r="213">
      <c r="A213" s="105" t="n"/>
      <c r="G213" s="105" t="n"/>
      <c r="H213" s="105" t="n"/>
      <c r="I213" s="108" t="n"/>
      <c r="J213" s="108" t="n"/>
    </row>
    <row r="214" ht="8" customHeight="1" s="112">
      <c r="A214" s="40" t="n"/>
      <c r="B214" s="44" t="n"/>
      <c r="C214" s="41" t="n"/>
      <c r="D214" s="41" t="n"/>
      <c r="E214" s="41" t="n"/>
      <c r="F214" s="41" t="n"/>
      <c r="G214" s="42" t="n"/>
      <c r="H214" s="40" t="n"/>
      <c r="I214" s="47" t="n"/>
      <c r="J214" s="51" t="n"/>
    </row>
    <row r="215">
      <c r="A215" s="105" t="inlineStr">
        <is>
          <t>Other</t>
        </is>
      </c>
      <c r="G215" s="105" t="n"/>
      <c r="H215" s="105" t="n"/>
      <c r="I215" s="83" t="n"/>
      <c r="J215" s="84" t="n"/>
    </row>
    <row r="216">
      <c r="A216" s="105" t="n"/>
      <c r="G216" s="105" t="n"/>
      <c r="H216" s="105" t="n"/>
      <c r="I216" s="26" t="n"/>
      <c r="J216" s="26" t="n"/>
    </row>
    <row r="220">
      <c r="A220" s="21" t="inlineStr">
        <is>
          <t>OTHER INFORMATION</t>
        </is>
      </c>
      <c r="B220" s="22" t="n"/>
      <c r="C220" s="23" t="n"/>
      <c r="D220" s="23" t="n"/>
      <c r="E220" s="23" t="n"/>
      <c r="F220" s="23" t="n"/>
      <c r="G220" s="23" t="n"/>
      <c r="H220" s="23" t="n"/>
      <c r="I220" s="23" t="n"/>
      <c r="J220" s="24" t="n"/>
    </row>
    <row r="221">
      <c r="A221" s="108" t="inlineStr">
        <is>
          <t>Molecular weight</t>
        </is>
      </c>
      <c r="B221" s="66" t="n"/>
      <c r="C221" s="55" t="n"/>
      <c r="J221" s="105" t="n"/>
    </row>
    <row r="222">
      <c r="A222" s="108" t="inlineStr">
        <is>
          <t>Boiling point</t>
        </is>
      </c>
      <c r="B222" s="17" t="n"/>
      <c r="C222" s="55" t="n"/>
      <c r="J222" s="105" t="n"/>
    </row>
    <row r="223">
      <c r="A223" s="108" t="inlineStr">
        <is>
          <t>Log kow (octanol-water partition coefficient)</t>
        </is>
      </c>
      <c r="B223" s="17" t="n"/>
      <c r="C223" s="55" t="n"/>
      <c r="J223" s="105" t="n"/>
    </row>
    <row r="224">
      <c r="A224" s="108" t="inlineStr">
        <is>
          <t>Vapor pressure</t>
        </is>
      </c>
      <c r="B224" s="17" t="n"/>
      <c r="C224" s="55" t="n"/>
      <c r="J224" s="105" t="n"/>
    </row>
    <row r="225">
      <c r="A225" s="108" t="inlineStr">
        <is>
          <t>Water solubility</t>
        </is>
      </c>
      <c r="B225" s="17" t="n"/>
      <c r="C225" s="55" t="n"/>
      <c r="J225" s="105" t="n"/>
    </row>
    <row r="226">
      <c r="A226" s="26" t="inlineStr">
        <is>
          <t>SMILES</t>
        </is>
      </c>
      <c r="B226" s="34" t="n"/>
      <c r="C226" s="55" t="n"/>
      <c r="D226" s="29" t="n"/>
      <c r="E226" s="29" t="n"/>
      <c r="F226" s="29" t="n"/>
      <c r="G226" s="29" t="n"/>
      <c r="H226" s="29" t="n"/>
      <c r="I226" s="29" t="n"/>
      <c r="J226" s="27" t="n"/>
    </row>
    <row r="230">
      <c r="A230" s="105" t="inlineStr">
        <is>
          <t>Literature sources</t>
        </is>
      </c>
      <c r="B230" s="19" t="inlineStr">
        <is>
          <t>IPCS INCHEM</t>
        </is>
      </c>
    </row>
    <row r="231">
      <c r="B231" s="19" t="inlineStr">
        <is>
          <t>EPA Ecotox</t>
        </is>
      </c>
      <c r="D231" s="10" t="n"/>
    </row>
    <row r="232">
      <c r="B232" s="20" t="inlineStr">
        <is>
          <t>ECHA dessimination website</t>
        </is>
      </c>
      <c r="C232" s="12" t="n"/>
      <c r="D232" s="12" t="n"/>
      <c r="E232" s="12" t="n"/>
      <c r="F232" s="13" t="n"/>
    </row>
    <row r="233">
      <c r="B233" s="19" t="inlineStr">
        <is>
          <t>eChemPortal</t>
        </is>
      </c>
    </row>
    <row r="234">
      <c r="B234" s="19" t="inlineStr">
        <is>
          <t>IARC</t>
        </is>
      </c>
      <c r="E234" t="inlineStr">
        <is>
          <t>In Pharos</t>
        </is>
      </c>
    </row>
    <row r="235">
      <c r="B235" s="20" t="inlineStr">
        <is>
          <t>ECHA C&amp;L inventory</t>
        </is>
      </c>
      <c r="C235" s="12" t="n"/>
      <c r="D235" s="12" t="n"/>
      <c r="E235" s="12" t="inlineStr">
        <is>
          <t>(In pharos)</t>
        </is>
      </c>
      <c r="F235" s="13" t="n"/>
    </row>
    <row r="236">
      <c r="B236" s="19" t="inlineStr">
        <is>
          <t>MAK</t>
        </is>
      </c>
      <c r="E236" t="inlineStr">
        <is>
          <t>In Pharos</t>
        </is>
      </c>
    </row>
    <row r="237">
      <c r="B237" s="19" t="inlineStr">
        <is>
          <t>HSBD</t>
        </is>
      </c>
    </row>
    <row r="238">
      <c r="B238" s="19" t="inlineStr">
        <is>
          <t>Colborn list</t>
        </is>
      </c>
    </row>
    <row r="239">
      <c r="B239" s="19" t="inlineStr">
        <is>
          <t>California Proposition 65 list</t>
        </is>
      </c>
      <c r="E239" t="inlineStr">
        <is>
          <t>In Pharos</t>
        </is>
      </c>
    </row>
    <row r="240">
      <c r="B240" s="19" t="inlineStr">
        <is>
          <t>Mundy</t>
        </is>
      </c>
    </row>
    <row r="241">
      <c r="B241" s="19" t="inlineStr">
        <is>
          <t>HPVIS</t>
        </is>
      </c>
    </row>
    <row r="242">
      <c r="B242" s="19" t="inlineStr">
        <is>
          <t>grandjean et al</t>
        </is>
      </c>
      <c r="E242" t="inlineStr">
        <is>
          <t>In Pharos</t>
        </is>
      </c>
    </row>
    <row r="243">
      <c r="B243" s="19" t="inlineStr">
        <is>
          <t>Montreal protocol</t>
        </is>
      </c>
      <c r="E243" t="inlineStr">
        <is>
          <t>In Pharos</t>
        </is>
      </c>
    </row>
    <row r="244">
      <c r="B244" s="19" t="inlineStr">
        <is>
          <t>IPCC</t>
        </is>
      </c>
      <c r="E244" t="inlineStr">
        <is>
          <t>In Pharos</t>
        </is>
      </c>
    </row>
    <row r="245">
      <c r="B245" s="19" t="inlineStr">
        <is>
          <t>EPA ozone depleting substance</t>
        </is>
      </c>
      <c r="E245" t="inlineStr">
        <is>
          <t>In Pharos</t>
        </is>
      </c>
    </row>
    <row r="246">
      <c r="B246" s="19" t="inlineStr">
        <is>
          <t>UBA WGK</t>
        </is>
      </c>
    </row>
    <row r="247">
      <c r="B247" s="19" t="inlineStr">
        <is>
          <t>REACH restricted substances</t>
        </is>
      </c>
      <c r="E247" t="inlineStr">
        <is>
          <t>In Pharos</t>
        </is>
      </c>
    </row>
    <row r="248">
      <c r="B248" s="19" t="inlineStr">
        <is>
          <t>candidate list for SVHC</t>
        </is>
      </c>
      <c r="E248" t="inlineStr">
        <is>
          <t>In Pharos</t>
        </is>
      </c>
    </row>
    <row r="249">
      <c r="B249" s="19" t="inlineStr">
        <is>
          <t>POPs list of Stockholm convention</t>
        </is>
      </c>
      <c r="E249" t="inlineStr">
        <is>
          <t>In Pharos</t>
        </is>
      </c>
    </row>
    <row r="250">
      <c r="B250" s="20" t="inlineStr">
        <is>
          <t>Pharos</t>
        </is>
      </c>
      <c r="C250" s="12" t="n"/>
      <c r="D250" s="12" t="n"/>
      <c r="E250" s="12" t="n"/>
      <c r="F250" s="13" t="n"/>
    </row>
    <row r="251">
      <c r="B251" s="106" t="inlineStr">
        <is>
          <t>Endocrine</t>
        </is>
      </c>
      <c r="E251" t="inlineStr">
        <is>
          <t>Excel table</t>
        </is>
      </c>
    </row>
    <row r="253">
      <c r="B253" s="19" t="inlineStr">
        <is>
          <t>https://echa.europa.eu/information-on-chemicals</t>
        </is>
      </c>
    </row>
  </sheetData>
  <mergeCells count="74">
    <mergeCell ref="J39:J42"/>
    <mergeCell ref="C52:F52"/>
    <mergeCell ref="C110:F110"/>
    <mergeCell ref="J145:J152"/>
    <mergeCell ref="C48:F48"/>
    <mergeCell ref="I74:I77"/>
    <mergeCell ref="J215:J216"/>
    <mergeCell ref="C39:F39"/>
    <mergeCell ref="I89:I94"/>
    <mergeCell ref="C91:F91"/>
    <mergeCell ref="C82:F82"/>
    <mergeCell ref="C165:F165"/>
    <mergeCell ref="I97:I105"/>
    <mergeCell ref="I195:I200"/>
    <mergeCell ref="C125:F125"/>
    <mergeCell ref="C81:F81"/>
    <mergeCell ref="J165:J172"/>
    <mergeCell ref="C155:F155"/>
    <mergeCell ref="J125:J131"/>
    <mergeCell ref="J182:J183"/>
    <mergeCell ref="C53:F53"/>
    <mergeCell ref="I145:I152"/>
    <mergeCell ref="I215:I216"/>
    <mergeCell ref="J74:J77"/>
    <mergeCell ref="B37:G37"/>
    <mergeCell ref="J116:J123"/>
    <mergeCell ref="C145:F145"/>
    <mergeCell ref="I47:I50"/>
    <mergeCell ref="J195:J200"/>
    <mergeCell ref="C166:F166"/>
    <mergeCell ref="I165:I172"/>
    <mergeCell ref="C42:F42"/>
    <mergeCell ref="I116:I123"/>
    <mergeCell ref="J155:J162"/>
    <mergeCell ref="J89:J94"/>
    <mergeCell ref="I81:I87"/>
    <mergeCell ref="C98:F98"/>
    <mergeCell ref="C89:F89"/>
    <mergeCell ref="C116:F116"/>
    <mergeCell ref="I52:I64"/>
    <mergeCell ref="C156:F156"/>
    <mergeCell ref="I175:I180"/>
    <mergeCell ref="J185:J191"/>
    <mergeCell ref="C97:F97"/>
    <mergeCell ref="C128:F128"/>
    <mergeCell ref="J175:J180"/>
    <mergeCell ref="I39:I42"/>
    <mergeCell ref="I182:I183"/>
    <mergeCell ref="J97:J105"/>
    <mergeCell ref="C109:F109"/>
    <mergeCell ref="C121:F121"/>
    <mergeCell ref="C47:F47"/>
    <mergeCell ref="I67:I70"/>
    <mergeCell ref="C41:F41"/>
    <mergeCell ref="J81:J87"/>
    <mergeCell ref="I155:I162"/>
    <mergeCell ref="J208:J213"/>
    <mergeCell ref="C146:F146"/>
    <mergeCell ref="C40:F40"/>
    <mergeCell ref="J47:J50"/>
    <mergeCell ref="J52:J64"/>
    <mergeCell ref="C118:F118"/>
    <mergeCell ref="J109:J114"/>
    <mergeCell ref="I185:I191"/>
    <mergeCell ref="C129:F129"/>
    <mergeCell ref="I140:I141"/>
    <mergeCell ref="C90:F90"/>
    <mergeCell ref="C130:F130"/>
    <mergeCell ref="J140:J141"/>
    <mergeCell ref="I109:I114"/>
    <mergeCell ref="C120:F120"/>
    <mergeCell ref="I125:I131"/>
    <mergeCell ref="J67:J70"/>
    <mergeCell ref="I208:I213"/>
  </mergeCells>
  <conditionalFormatting sqref="I67:I68">
    <cfRule type="expression" priority="241" dxfId="284">
      <formula>AND($B$69="Inhalation NOAEL =",$C$69&gt;=2.5,ISNUMBER($C$69))</formula>
    </cfRule>
    <cfRule type="expression" priority="242" dxfId="4">
      <formula>AND($B$69="Inhalation NOAEL =",$C$69&gt;=0.25,ISNUMBER($C$69))</formula>
    </cfRule>
    <cfRule type="expression" priority="243" dxfId="7">
      <formula>AND($B$69="Inhalation NOAEL =",$C$69&lt;0.25,$C$69&gt;0)</formula>
    </cfRule>
    <cfRule type="expression" priority="253" dxfId="284">
      <formula>AND($B$69="Oral NOAEL =",$C$69&gt;=500,ISNUMBER($C$69))</formula>
    </cfRule>
    <cfRule type="expression" priority="254" dxfId="4">
      <formula>AND($B$69="Oral NOAEL =",$C$69&gt;=50,ISNUMBER($C$69))</formula>
    </cfRule>
    <cfRule type="expression" priority="255" dxfId="7">
      <formula>AND($B$69="Oral NOAEL =",$C$69&lt;50,$C$69&gt;0)</formula>
    </cfRule>
    <cfRule type="expression" priority="256" dxfId="281">
      <formula>$C$67="MAK C"</formula>
    </cfRule>
    <cfRule type="expression" priority="257" dxfId="280">
      <formula>OR($C$67="Repr. 1A: H360: May damage fertility or the unborn child",$C$67="Repr. 1B: H360: May damage fertility or the unborn child",$C$67="Repr. 2: H361: Suspected of damaging fertility or the unborn child",$C$67="MAK A",$C$67="MAK B")</formula>
    </cfRule>
  </conditionalFormatting>
  <conditionalFormatting sqref="I39:I45">
    <cfRule type="expression" priority="220" dxfId="12">
      <formula>$I$39="Manually set to: Grey"</formula>
    </cfRule>
    <cfRule type="expression" priority="227" dxfId="7">
      <formula>$I$39="Manually set to: Red"</formula>
    </cfRule>
    <cfRule type="expression" priority="228" dxfId="4">
      <formula>$I$39="Manually set to: Yellow"</formula>
    </cfRule>
    <cfRule type="expression" priority="229" dxfId="2">
      <formula>$I$39="Manually set to: Green"</formula>
    </cfRule>
    <cfRule type="expression" priority="244" dxfId="7">
      <formula>OR(C39="TLV A1",C39="TLV A2",C39="TLV A3",C39="Carc. 1A: H350: May cause cancer",C39="Carc. 1B: H350: May cause cancer",C39="Carc. 2: H351: Suspected of causing cancer")</formula>
    </cfRule>
    <cfRule type="expression" priority="245" dxfId="7">
      <formula>OR(C39="MAK III 1",C39="MAK III 2",C39="MAK III 3B",C39="IARC 1",C39="IARC 2A",C39="IARC 2B")</formula>
    </cfRule>
    <cfRule type="expression" priority="246" dxfId="4">
      <formula>OR(C39="MAK III 3A",C39="MAK III 4",C39="MAK III 5")</formula>
    </cfRule>
    <cfRule type="expression" priority="247" dxfId="2">
      <formula>OR(C39="TLV A5",C39="IARC 4")</formula>
    </cfRule>
    <cfRule type="expression" priority="248" dxfId="12">
      <formula>OR(C39="IARC 3",C39="TLV A4")</formula>
    </cfRule>
  </conditionalFormatting>
  <conditionalFormatting sqref="P50">
    <cfRule type="expression" priority="252" dxfId="7">
      <formula>AND(K51="Positive",K52="Positive")</formula>
    </cfRule>
  </conditionalFormatting>
  <conditionalFormatting sqref="I74:I75">
    <cfRule type="expression" priority="233" dxfId="284">
      <formula>AND($B$76="Inhalation NOAEL =",$C$76&gt;=2.5,ISNUMBER($C$76))</formula>
    </cfRule>
    <cfRule type="expression" priority="234" dxfId="4">
      <formula>AND($B$76="Inhalation NOAEL =",$C$76&gt;=0.25,ISNUMBER($C$76))</formula>
    </cfRule>
    <cfRule type="expression" priority="235" dxfId="7">
      <formula>AND($B$76="Inhalation NOAEL =",$C$76&lt;0.25,$C$76&gt;0)</formula>
    </cfRule>
    <cfRule type="expression" priority="236" dxfId="284">
      <formula>AND($B$76="Oral NOAEL =",$C$76&gt;=500,ISNUMBER($C$76))</formula>
    </cfRule>
    <cfRule type="expression" priority="237" dxfId="4">
      <formula>AND($B$76="Oral NOAEL =",$C$76&gt;=50,ISNUMBER($C$76))</formula>
    </cfRule>
    <cfRule type="expression" priority="238" dxfId="7">
      <formula>AND($B$76="Oral NOAEL =",$C$76&lt;50,$C$76&gt;0)</formula>
    </cfRule>
    <cfRule type="expression" priority="239" dxfId="281">
      <formula>$C$74="MAK C"</formula>
    </cfRule>
    <cfRule type="expression" priority="240" dxfId="280">
      <formula>OR($C$74="Repr. 1A: H360: May damage fertility or the unborn child",$C$74="Repr. 1B: H360: May damage fertility or the unborn child",$C$74="Repr. 2: H361: Suspected of damaging fertility or the unborn child",$C$74="MAK A",$C$74="MAK B")</formula>
    </cfRule>
  </conditionalFormatting>
  <conditionalFormatting sqref="I67:I72">
    <cfRule type="expression" priority="96" dxfId="12">
      <formula>$I$67="Manually set to: Grey"</formula>
    </cfRule>
    <cfRule type="expression" priority="230" dxfId="7">
      <formula>$I$67="Manually set to:  Red"</formula>
    </cfRule>
    <cfRule type="expression" priority="231" dxfId="4">
      <formula>$I$67="Manually set to: Yellow"</formula>
    </cfRule>
    <cfRule type="expression" priority="232" dxfId="2">
      <formula>$I$67="Manually set to: Green"</formula>
    </cfRule>
  </conditionalFormatting>
  <conditionalFormatting sqref="I47:I50">
    <cfRule type="expression" priority="219" dxfId="12">
      <formula>$I$47="Manually set to: Grey"</formula>
    </cfRule>
    <cfRule type="expression" priority="224" dxfId="2">
      <formula>$I$47="Manually set to: Green"</formula>
    </cfRule>
    <cfRule type="expression" priority="225" dxfId="4">
      <formula>$I$47="Manually set to: Yellow"</formula>
    </cfRule>
    <cfRule type="expression" priority="226" dxfId="7">
      <formula>$I$47="Manually set to: Red"</formula>
    </cfRule>
  </conditionalFormatting>
  <conditionalFormatting sqref="I74:I79">
    <cfRule type="expression" priority="218" dxfId="12">
      <formula>$I$74="Manually set to: Grey"</formula>
    </cfRule>
    <cfRule type="expression" priority="221" dxfId="7">
      <formula>$I$74="Manually set to: Red"</formula>
    </cfRule>
    <cfRule type="expression" priority="222" dxfId="4">
      <formula>$I$74="Manually set to: Yellow"</formula>
    </cfRule>
    <cfRule type="expression" priority="223" dxfId="2">
      <formula>$I$74="Manually set to: Green"</formula>
    </cfRule>
  </conditionalFormatting>
  <conditionalFormatting sqref="J39:J45">
    <cfRule type="expression" priority="214" dxfId="12">
      <formula>$J$39="Manually set to: Grey"</formula>
    </cfRule>
    <cfRule type="expression" priority="215" dxfId="7">
      <formula>$J$39="Manually set to: Red"</formula>
    </cfRule>
    <cfRule type="expression" priority="216" dxfId="4">
      <formula>$J$39="Manually set to: Yellow"</formula>
    </cfRule>
    <cfRule type="expression" priority="217" dxfId="2">
      <formula>$J$39="Manually set to: Green"</formula>
    </cfRule>
  </conditionalFormatting>
  <conditionalFormatting sqref="J47:J50">
    <cfRule type="expression" priority="210" dxfId="12">
      <formula>$J$47="Manually set to: Grey"</formula>
    </cfRule>
    <cfRule type="expression" priority="211" dxfId="7">
      <formula>$J$47="Manually set to: Red"</formula>
    </cfRule>
    <cfRule type="expression" priority="212" dxfId="4">
      <formula>$J$47="Manually set to: Yellow"</formula>
    </cfRule>
    <cfRule type="expression" priority="213" dxfId="2">
      <formula>$J$47="Manually set to: Green"</formula>
    </cfRule>
  </conditionalFormatting>
  <conditionalFormatting sqref="J52:J53">
    <cfRule type="expression" priority="206" dxfId="12">
      <formula>$J$52="Manually set to: Grey"</formula>
    </cfRule>
    <cfRule type="expression" priority="207" dxfId="7">
      <formula>$J$52="Manually set to: Red"</formula>
    </cfRule>
    <cfRule type="expression" priority="208" dxfId="4">
      <formula>$J$52="Manually set to: Yellow"</formula>
    </cfRule>
    <cfRule type="expression" priority="209" dxfId="2">
      <formula>$J$52="Manually set to: Green"</formula>
    </cfRule>
  </conditionalFormatting>
  <conditionalFormatting sqref="J67:J68">
    <cfRule type="expression" priority="202" dxfId="12">
      <formula>$J$67="Manually set to: Grey"</formula>
    </cfRule>
    <cfRule type="expression" priority="203" dxfId="7">
      <formula>$J$67="Manually set to: Red"</formula>
    </cfRule>
    <cfRule type="expression" priority="204" dxfId="4">
      <formula>$J$67="Manually set to: Yellow"</formula>
    </cfRule>
    <cfRule type="expression" priority="205" dxfId="2">
      <formula>$J$67="Manually set to: Green"</formula>
    </cfRule>
  </conditionalFormatting>
  <conditionalFormatting sqref="J74:J75">
    <cfRule type="expression" priority="198" dxfId="12">
      <formula>$J$74="Manually set to: Grey"</formula>
    </cfRule>
    <cfRule type="expression" priority="199" dxfId="7">
      <formula>$J$74="Manually set to: Red"</formula>
    </cfRule>
    <cfRule type="expression" priority="200" dxfId="4">
      <formula>$J$74="Manually set to: Yellow"</formula>
    </cfRule>
    <cfRule type="expression" priority="201" dxfId="2">
      <formula>$J$74="Manually set to: Green"</formula>
    </cfRule>
  </conditionalFormatting>
  <conditionalFormatting sqref="J81:J87">
    <cfRule type="expression" priority="194" dxfId="12">
      <formula>$J$81="Manually set to: Grey"</formula>
    </cfRule>
    <cfRule type="expression" priority="195" dxfId="7">
      <formula>$J$81="Manually set to: Red"</formula>
    </cfRule>
    <cfRule type="expression" priority="196" dxfId="4">
      <formula>$J$81="Manually set to: Yellow"</formula>
    </cfRule>
    <cfRule type="expression" priority="197" dxfId="2">
      <formula>$J$81="Manually set to: Green"</formula>
    </cfRule>
  </conditionalFormatting>
  <conditionalFormatting sqref="J89:J90">
    <cfRule type="expression" priority="190" dxfId="12">
      <formula>$J$89="Manually set to: Grey"</formula>
    </cfRule>
    <cfRule type="expression" priority="191" dxfId="7">
      <formula>$J$89="Manually set to: Red"</formula>
    </cfRule>
    <cfRule type="expression" priority="192" dxfId="4">
      <formula>$J$89="Manually set to: Yellow"</formula>
    </cfRule>
    <cfRule type="expression" priority="193" dxfId="2">
      <formula>$J$89="Manually set to: Green"</formula>
    </cfRule>
  </conditionalFormatting>
  <conditionalFormatting sqref="J97">
    <cfRule type="expression" priority="186" dxfId="12">
      <formula>$J$97="Manually set to: Grey"</formula>
    </cfRule>
    <cfRule type="expression" priority="187" dxfId="7">
      <formula>$J$97="Manually set to: Red"</formula>
    </cfRule>
    <cfRule type="expression" priority="188" dxfId="4">
      <formula>$J$97="Manually set to: Yellow"</formula>
    </cfRule>
    <cfRule type="expression" priority="189" dxfId="2">
      <formula>$J$97="Manually set to: Green"</formula>
    </cfRule>
  </conditionalFormatting>
  <conditionalFormatting sqref="J109">
    <cfRule type="expression" priority="182" dxfId="12">
      <formula>$J$109="Manually set to: Grey"</formula>
    </cfRule>
    <cfRule type="expression" priority="183" dxfId="7">
      <formula>$J$109="Manually set to: Red"</formula>
    </cfRule>
    <cfRule type="expression" priority="184" dxfId="4">
      <formula>$J$109="Manually set to: Yellow"</formula>
    </cfRule>
    <cfRule type="expression" priority="185" dxfId="2">
      <formula>$J$109="Manually set to: Green"</formula>
    </cfRule>
  </conditionalFormatting>
  <conditionalFormatting sqref="J116:J117">
    <cfRule type="expression" priority="178" dxfId="12">
      <formula>$J$116="Manually set to: Grey"</formula>
    </cfRule>
    <cfRule type="expression" priority="179" dxfId="7">
      <formula>$J$116="Manually set to: Red"</formula>
    </cfRule>
    <cfRule type="expression" priority="180" dxfId="4">
      <formula>$J$116="Manually set to: Yellow"</formula>
    </cfRule>
    <cfRule type="expression" priority="181" dxfId="2">
      <formula>$J$116="Manually set to: Green"</formula>
    </cfRule>
  </conditionalFormatting>
  <conditionalFormatting sqref="J125:J127">
    <cfRule type="expression" priority="174" dxfId="12">
      <formula>$J$125="Manually set to: Grey"</formula>
    </cfRule>
    <cfRule type="expression" priority="175" dxfId="7">
      <formula>$J$125="Manually set to: Red"</formula>
    </cfRule>
    <cfRule type="expression" priority="176" dxfId="4">
      <formula>$J$125="Manually set to: Yellow"</formula>
    </cfRule>
    <cfRule type="expression" priority="177" dxfId="2">
      <formula>$J$125="Manually set to: Green"</formula>
    </cfRule>
  </conditionalFormatting>
  <conditionalFormatting sqref="J140:J142">
    <cfRule type="expression" priority="170" dxfId="12">
      <formula>$J$140="Manually set to: Grey"</formula>
    </cfRule>
    <cfRule type="expression" priority="171" dxfId="7">
      <formula>$J$140="Manually set to: Red"</formula>
    </cfRule>
    <cfRule type="expression" priority="172" dxfId="4">
      <formula>$J$140="Manually set to: Yellow"</formula>
    </cfRule>
    <cfRule type="expression" priority="173" dxfId="2">
      <formula>$J$140="Manually set to: Green"</formula>
    </cfRule>
  </conditionalFormatting>
  <conditionalFormatting sqref="J145:J146">
    <cfRule type="expression" priority="166" dxfId="12">
      <formula>$J$145="Manually set to: Grey"</formula>
    </cfRule>
    <cfRule type="expression" priority="167" dxfId="7">
      <formula>$J$145="Manually set to: Red"</formula>
    </cfRule>
    <cfRule type="expression" priority="168" dxfId="4">
      <formula>$J$145="Manually set to: Yellow"</formula>
    </cfRule>
    <cfRule type="expression" priority="169" dxfId="2">
      <formula>$J$145="Manually set to: Green"</formula>
    </cfRule>
  </conditionalFormatting>
  <conditionalFormatting sqref="J155:J156">
    <cfRule type="expression" priority="162" dxfId="12">
      <formula>$J$155="Manually set to: Grey"</formula>
    </cfRule>
    <cfRule type="expression" priority="163" dxfId="7">
      <formula>$J$155="Manually set to: Red"</formula>
    </cfRule>
    <cfRule type="expression" priority="164" dxfId="4">
      <formula>$J$155="Manually set to: Yellow"</formula>
    </cfRule>
    <cfRule type="expression" priority="165" dxfId="2">
      <formula>$J$155="Manually set to: Green"</formula>
    </cfRule>
  </conditionalFormatting>
  <conditionalFormatting sqref="J165:J166">
    <cfRule type="expression" priority="158" dxfId="12">
      <formula>$J$165="Manually set to: Grey"</formula>
    </cfRule>
    <cfRule type="expression" priority="159" dxfId="7">
      <formula>$J$165="Manually set to: Red"</formula>
    </cfRule>
    <cfRule type="expression" priority="160" dxfId="4">
      <formula>$J$165="Manually set to: Yellow"</formula>
    </cfRule>
    <cfRule type="expression" priority="161" dxfId="2">
      <formula>$J$165="Manually set to: Green"</formula>
    </cfRule>
  </conditionalFormatting>
  <conditionalFormatting sqref="J175:J180">
    <cfRule type="expression" priority="150" dxfId="12">
      <formula>$J$175="Manually set to: Grey"</formula>
    </cfRule>
    <cfRule type="expression" priority="151" dxfId="7">
      <formula>$J$175="Manually set to: Red"</formula>
    </cfRule>
    <cfRule type="expression" priority="152" dxfId="4">
      <formula>$J$175="Manually set to: Yellow"</formula>
    </cfRule>
    <cfRule type="expression" priority="153" dxfId="2">
      <formula>$J$175="Manually set to: Green"</formula>
    </cfRule>
  </conditionalFormatting>
  <conditionalFormatting sqref="J195:J196">
    <cfRule type="expression" priority="146" dxfId="12">
      <formula>$J$195="Manually set to: Grey"</formula>
    </cfRule>
    <cfRule type="expression" priority="147" dxfId="7">
      <formula>$J$195="Manually set to: Red"</formula>
    </cfRule>
    <cfRule type="expression" priority="148" dxfId="4">
      <formula>$J$195="Manually set to: Yellow"</formula>
    </cfRule>
    <cfRule type="expression" priority="149" dxfId="2">
      <formula>$J$195="Manually set to: Green"</formula>
    </cfRule>
  </conditionalFormatting>
  <conditionalFormatting sqref="J208:J213">
    <cfRule type="expression" priority="138" dxfId="12">
      <formula>$J$208="Manually set to: Grey"</formula>
    </cfRule>
    <cfRule type="expression" priority="139" dxfId="7">
      <formula>$J$208="Manually set to: Red"</formula>
    </cfRule>
    <cfRule type="expression" priority="140" dxfId="4">
      <formula>$J$208="Manually set to: Yellow"</formula>
    </cfRule>
    <cfRule type="expression" priority="141" dxfId="2">
      <formula>$J$208="Manually set to: Green"</formula>
    </cfRule>
  </conditionalFormatting>
  <conditionalFormatting sqref="J215:J216">
    <cfRule type="expression" priority="134" dxfId="12">
      <formula>$J$215="Manually set to: Grey"</formula>
    </cfRule>
    <cfRule type="expression" priority="135" dxfId="7">
      <formula>$J$215="Manually set to: Red"</formula>
    </cfRule>
    <cfRule type="expression" priority="136" dxfId="4">
      <formula>$J$215="Manually set to: Yellow"</formula>
    </cfRule>
    <cfRule type="expression" priority="137" dxfId="2">
      <formula>$J$215="Manually set to: Green"</formula>
    </cfRule>
  </conditionalFormatting>
  <conditionalFormatting sqref="I81:I87">
    <cfRule type="expression" priority="130" dxfId="12">
      <formula>$I$81="Manually set to: Grey"</formula>
    </cfRule>
    <cfRule type="expression" priority="131" dxfId="7">
      <formula>$I$81="Manually set to: Red"</formula>
    </cfRule>
    <cfRule type="expression" priority="132" dxfId="4">
      <formula>$I$81="Manually set to: Yellow"</formula>
    </cfRule>
    <cfRule type="expression" priority="133" dxfId="2">
      <formula>$I$81="Manually set to: Green"</formula>
    </cfRule>
  </conditionalFormatting>
  <conditionalFormatting sqref="I140:I141">
    <cfRule type="expression" priority="126" dxfId="12">
      <formula>$I$140="Manually set to: Grey"</formula>
    </cfRule>
    <cfRule type="expression" priority="127" dxfId="2">
      <formula>$I$140="Manually set to: Green"</formula>
    </cfRule>
    <cfRule type="expression" priority="128" dxfId="4">
      <formula>$I$140="Manually set to: Yellow"</formula>
    </cfRule>
    <cfRule type="expression" priority="129" dxfId="7">
      <formula>$I$140="Manually set to: Red"</formula>
    </cfRule>
  </conditionalFormatting>
  <conditionalFormatting sqref="I175:I180">
    <cfRule type="expression" priority="118" dxfId="12">
      <formula>$I$175="Manually set to: Grey"</formula>
    </cfRule>
    <cfRule type="expression" priority="119" dxfId="2">
      <formula>$I$175="Manually set to: Green"</formula>
    </cfRule>
    <cfRule type="expression" priority="120" dxfId="4">
      <formula>$I$175="Manually set to: Yellow"</formula>
    </cfRule>
    <cfRule type="expression" priority="121" dxfId="7">
      <formula>$I$175="Manually set to: Red"</formula>
    </cfRule>
  </conditionalFormatting>
  <conditionalFormatting sqref="I208:I213">
    <cfRule type="expression" priority="114" dxfId="12">
      <formula>$I$208="Manually set to: Grey"</formula>
    </cfRule>
    <cfRule type="expression" priority="115" dxfId="2">
      <formula>$I$208="Manually set to: Green"</formula>
    </cfRule>
    <cfRule type="expression" priority="116" dxfId="4">
      <formula>$I$208="Manually set to: Yellow"</formula>
    </cfRule>
    <cfRule type="expression" priority="117" dxfId="7">
      <formula>$I$208="Manually set to: Red"</formula>
    </cfRule>
  </conditionalFormatting>
  <conditionalFormatting sqref="I215:I216">
    <cfRule type="expression" priority="110" dxfId="12">
      <formula>$I$215="Manually set to: Grey"</formula>
    </cfRule>
    <cfRule type="expression" priority="111" dxfId="2">
      <formula>$I$215="Manually set to: Green"</formula>
    </cfRule>
    <cfRule type="expression" priority="112" dxfId="4">
      <formula>$I$215="Manually set to: Yellow"</formula>
    </cfRule>
    <cfRule type="expression" priority="113" dxfId="7">
      <formula>$I$215="Manually set to: Red"</formula>
    </cfRule>
  </conditionalFormatting>
  <conditionalFormatting sqref="I89:I95">
    <cfRule type="expression" priority="258" dxfId="12">
      <formula>$I$89="Manually set to: Grey"</formula>
    </cfRule>
    <cfRule type="expression" priority="259" dxfId="2">
      <formula>$I$89="Manually set to: Green"</formula>
    </cfRule>
    <cfRule type="expression" priority="260" dxfId="4">
      <formula>$I$89="Manually set to: Yellow"</formula>
    </cfRule>
    <cfRule type="expression" priority="261" dxfId="7">
      <formula>$I$89="Manually set to: Red"</formula>
    </cfRule>
    <cfRule type="expression" priority="262" dxfId="7">
      <formula>OR(AND(ISNUMBER($C$92),$C$92&lt;300),AND(ISNUMBER($C$93),$C$93&lt;10))</formula>
    </cfRule>
    <cfRule type="expression" priority="263" dxfId="7">
      <formula>$C$91="STOT RE 1: H372: Causes damage trough repeated oral exposure"</formula>
    </cfRule>
    <cfRule type="expression" priority="264" dxfId="7">
      <formula>$C$91="STOT SE 1: H370: Causes damage to organs via oral exposure"</formula>
    </cfRule>
    <cfRule type="expression" priority="265" dxfId="7">
      <formula>$C$89="Asp. Tox. 1: H304: May be fatal if swallowed and enters airways"</formula>
    </cfRule>
    <cfRule type="expression" priority="266" dxfId="7">
      <formula>$C$89="Acute Tox. 3: H301: Toxic if swallowed"</formula>
    </cfRule>
    <cfRule type="expression" priority="267" dxfId="7">
      <formula>$C$89="Acute Tox. 2: H300: Fatal if swallowed"</formula>
    </cfRule>
    <cfRule type="expression" priority="268" dxfId="7">
      <formula>$C$89="Acute Tox. 1: H300: Fatal if swallowed"</formula>
    </cfRule>
    <cfRule type="expression" priority="269" dxfId="4">
      <formula>$C$91="STOT RE 1: H372: Causes damage via repeated oral exposure"</formula>
    </cfRule>
    <cfRule type="expression" priority="270" dxfId="4">
      <formula>$C$91="STOT RE 2: H373: May cause damage via repeated oral exposure"</formula>
    </cfRule>
    <cfRule type="expression" priority="271" dxfId="4">
      <formula>$C$89="Acute Tox. 4: H302: Harmful if swallowed"</formula>
    </cfRule>
    <cfRule type="expression" priority="272" dxfId="2">
      <formula>AND($C$92&gt;=2000,$C$93&gt;=100,ISNUMBER($C$92),ISNUMBER($C$93))</formula>
    </cfRule>
    <cfRule type="expression" priority="273" dxfId="4">
      <formula>AND(OR($C$92&gt;=300,$C$93&gt;=10),ISNUMBER($C$92),ISNUMBER($C$93))</formula>
    </cfRule>
  </conditionalFormatting>
  <conditionalFormatting sqref="I109:I114">
    <cfRule type="expression" priority="274" dxfId="12">
      <formula>$I$109="Manually set to: Grey"</formula>
    </cfRule>
    <cfRule type="expression" priority="275" dxfId="2">
      <formula>$I$109="Manually set to: Green"</formula>
    </cfRule>
    <cfRule type="expression" priority="276" dxfId="4">
      <formula>$I$109="Manually set to: Yellow"</formula>
    </cfRule>
    <cfRule type="expression" priority="277" dxfId="7">
      <formula>$I$109="Manually set to: Red"</formula>
    </cfRule>
    <cfRule type="expression" priority="278" dxfId="7">
      <formula>OR(AND(ISNUMBER($C$111),$C$111&lt;1000),AND(ISNUMBER($C$112),$C$112&lt;20))</formula>
    </cfRule>
    <cfRule type="expression" priority="279" dxfId="7">
      <formula>$C$110="STOT RE 1: H372: Causes damage via repeated dermal exposure"</formula>
    </cfRule>
    <cfRule type="expression" priority="280" dxfId="7">
      <formula>$C$110="STOT SE 1: H370: Causes damage to organs via oral exposure"</formula>
    </cfRule>
    <cfRule type="expression" priority="281" dxfId="7">
      <formula>$C$110="STOT SE 1: H370: Causes damage to organs via dermal exposure"</formula>
    </cfRule>
    <cfRule type="expression" priority="282" dxfId="7">
      <formula>$C$109="Acute Tox. 3: H311: Toxic in contact with skin"</formula>
    </cfRule>
    <cfRule type="expression" priority="283" dxfId="7">
      <formula>$C$109="Acute Tox. 2: H310: Fatal in contact with skin"</formula>
    </cfRule>
    <cfRule type="expression" priority="284" dxfId="7">
      <formula>$C$109="Acute Tox. 1: H310: Fatal in contact with skin"</formula>
    </cfRule>
    <cfRule type="expression" priority="285" dxfId="4">
      <formula>$C$110="STOT SE 2: H371: May cause damage to organs via dermal exposure"</formula>
    </cfRule>
    <cfRule type="expression" priority="286" dxfId="4">
      <formula>$C$110="STOT RE 2: H373: May cause damage via repeated dermal exposure"</formula>
    </cfRule>
    <cfRule type="expression" priority="287" dxfId="4">
      <formula>$C$109="Acute Tox. 4: H312: Harmful in contact with skin"</formula>
    </cfRule>
    <cfRule type="expression" priority="288" dxfId="4">
      <formula>OR(AND(ISNUMBER($C$111),$C$111&gt;=1000,$C$111&lt;2000),AND(ISNUMBER($C$112),$C$112&gt;=20,$C$112&lt;200))</formula>
    </cfRule>
    <cfRule type="expression" priority="289" dxfId="2">
      <formula>OR(AND(ISNUMBER($C$111),$C$111&gt;=2000),AND(ISNUMBER($C$112),$C$112&gt;=200))</formula>
    </cfRule>
  </conditionalFormatting>
  <conditionalFormatting sqref="I125:I131">
    <cfRule type="expression" priority="86" dxfId="12">
      <formula>$I$125="Manually set to: Grey"</formula>
    </cfRule>
    <cfRule type="expression" priority="87" dxfId="2">
      <formula>$I$125="Manually set to: Green"</formula>
    </cfRule>
    <cfRule type="expression" priority="290" dxfId="4">
      <formula>$I$125="Manually set to: Yellow"</formula>
    </cfRule>
    <cfRule type="expression" priority="291" dxfId="7">
      <formula>$I$125="Manually set to: Red"</formula>
    </cfRule>
    <cfRule type="expression" priority="292" dxfId="7">
      <formula>$C$125="Sensitizing according to testing"</formula>
    </cfRule>
    <cfRule type="expression" priority="293" dxfId="7">
      <formula>$C$125="MAK Sh"</formula>
    </cfRule>
    <cfRule type="expression" priority="294" dxfId="7">
      <formula>$C$128="MAK Sa"</formula>
    </cfRule>
    <cfRule type="expression" priority="295" dxfId="7">
      <formula>$C$128="Sensitizing according to testing"</formula>
    </cfRule>
    <cfRule type="expression" priority="296" dxfId="7">
      <formula>$C$128="Resp. Sens. 1: H334 May cause allergy or asthma symptoms or breathing difficulties if inhaled"</formula>
    </cfRule>
    <cfRule type="expression" priority="297" dxfId="7">
      <formula>$C$125="Skin Sens. 1: H317 May cause an allergic skin reaction"</formula>
    </cfRule>
    <cfRule type="expression" priority="298" dxfId="2">
      <formula>$C$125="Not sensitzing according to testing"</formula>
    </cfRule>
    <cfRule type="expression" priority="299" dxfId="2">
      <formula>$C$128="Not sensitzing according to testing"</formula>
    </cfRule>
  </conditionalFormatting>
  <conditionalFormatting sqref="I97">
    <cfRule type="expression" priority="300" dxfId="12">
      <formula>$I$97="Manually set to: Grey"</formula>
    </cfRule>
    <cfRule type="expression" priority="301" dxfId="7">
      <formula>$I$97="Manually set to: Red"</formula>
    </cfRule>
    <cfRule type="expression" priority="302" dxfId="4">
      <formula>$I$97="Manually set to: Yellow"</formula>
    </cfRule>
    <cfRule type="expression" priority="303" dxfId="2">
      <formula>$I$97="Manually set to: Green"</formula>
    </cfRule>
    <cfRule type="expression" priority="304" dxfId="7">
      <formula>OR($C$97="Acute Tox. 1: H330: Fatal if inhaled",$C$97="Acute Tox. 2: H330: Fatal if inhaled",$C$97="Acute Tox. 3: H331: Toxic if inhaled")</formula>
    </cfRule>
    <cfRule type="expression" priority="305" dxfId="7">
      <formula>OR($C$98="STOT SE 1: H370: Damages organs via inhal. exp.",$C$98="STOT RE 1: H372: Damages organs via repeated inhal. exp.")</formula>
    </cfRule>
    <cfRule type="expression" priority="306" dxfId="7">
      <formula>AND($B$99="Acute: LC50 (gas) =",$C$99&lt;2500,ISNUMBER($C$99))</formula>
    </cfRule>
    <cfRule type="expression" priority="307" dxfId="7">
      <formula>AND($B$99="Acute: LC50 (dust/mist/aerosol) =",$C$99&lt;1,ISNUMBER($C$99))</formula>
    </cfRule>
    <cfRule type="expression" priority="308" dxfId="7">
      <formula>AND($B$99="Acute: LC50 (vapor) =",$C$99&lt;10,ISNUMBER($C$99))</formula>
    </cfRule>
    <cfRule type="expression" priority="309" dxfId="7">
      <formula>AND($B$102="Chronic: LOAEL (gas) =",$C$102&lt;50,ISNUMBER($C$102))</formula>
    </cfRule>
    <cfRule type="expression" priority="310" dxfId="7">
      <formula>AND($B$102="Chronic: LOAEL (vapor) =",$C$102&lt;0.2,ISNUMBER($C$102))</formula>
    </cfRule>
    <cfRule type="expression" priority="311" dxfId="7">
      <formula>AND($B$102="Chronic: LOAEL (dust/mist/aerosol) =",$C$102&lt;0.02,ISNUMBER($C$102))</formula>
    </cfRule>
    <cfRule type="expression" priority="312" dxfId="4">
      <formula>$C$97="Acute Tox. 4: H332: Harmful if inhaled"</formula>
    </cfRule>
    <cfRule type="expression" priority="313" dxfId="4">
      <formula>OR($C$98="STOT SE 2: H371: May damage organs via inhal. exp.",$C$98="STOT RE 2: H373: May damage organs via repeated inhal. exp.",$C$98="STOT SE 3: H336: May cause drowsiness")</formula>
    </cfRule>
    <cfRule type="expression" priority="314" dxfId="4">
      <formula>AND($B$102="Chronic: LOAEL (gas) =",AND($C$102&gt;=50,$C$102&lt;250),ISNUMBER($C$102))</formula>
    </cfRule>
    <cfRule type="expression" priority="315" dxfId="4">
      <formula>AND($B$102="Chronic: LOAEL (vapor) =",AND($C$102&gt;=0.2,$C$102&lt;1),ISNUMBER($C$102))</formula>
    </cfRule>
    <cfRule type="expression" priority="316" dxfId="4">
      <formula>AND($B$102="Chronic: LOAEL (dust/mist/aerosol) =",AND($C$102&gt;=0.02,$C$102&lt;0.2),ISNUMBER($C$102))</formula>
    </cfRule>
    <cfRule type="expression" priority="317" dxfId="4">
      <formula>AND($B$99="Acute: LC50 (gas) =",AND($C$99&gt;=2500,$C$99&lt;20000),ISNUMBER($C$99))</formula>
    </cfRule>
    <cfRule type="expression" priority="318" dxfId="4">
      <formula>AND($B$99="Acute: LC50 (vapor) =",AND($C$99&gt;=10,$C$99&lt;20),ISNUMBER($C$99))</formula>
    </cfRule>
    <cfRule type="expression" priority="319" dxfId="4">
      <formula>AND($B$99="Acute: LC50 (dust/mist/aerosol) =",AND($C$99&gt;=1,$C$99&lt;5),ISNUMBER($C$99))</formula>
    </cfRule>
    <cfRule type="expression" priority="320" dxfId="2">
      <formula>AND($B$102="Chronic: LOAEL (vapor) =",$C$102&gt;=1,ISNUMBER($C$102))</formula>
    </cfRule>
    <cfRule type="expression" priority="321" dxfId="2">
      <formula>AND($B$102="Chronic: LOAEL (gas) =",$C$102&gt;=250,ISNUMBER($C$102))</formula>
    </cfRule>
    <cfRule type="expression" priority="322" dxfId="2">
      <formula>AND($B$102="Chronic: LOAEL (dust/mist/aerosol) =",$C$102&gt;=0.2,ISNUMBER($C$102))</formula>
    </cfRule>
    <cfRule type="expression" priority="323" dxfId="2">
      <formula>AND($B$99="Acute: LC50 (gas) =",$C$99&gt;=20000,ISNUMBER($C$99))</formula>
    </cfRule>
    <cfRule type="expression" priority="324" dxfId="2">
      <formula>AND($B$99="Acute: LC50 (vapor) =",$C$99&gt;=20,ISNUMBER($C$99))</formula>
    </cfRule>
    <cfRule type="expression" priority="325" dxfId="2">
      <formula>AND($B$99="Acute: LC50 (dust/mist/aerosol) =",$C$99&gt;=5,ISNUMBER($C$99))</formula>
    </cfRule>
  </conditionalFormatting>
  <conditionalFormatting sqref="I145:I146">
    <cfRule type="expression" priority="69" dxfId="12">
      <formula>$I$145="Manually set to: Grey"</formula>
    </cfRule>
    <cfRule type="expression" priority="75" dxfId="2">
      <formula>$I$145="Manually set to: Green"</formula>
    </cfRule>
    <cfRule type="expression" priority="90" dxfId="4">
      <formula>$I$145="Manually set to: Yellow"</formula>
    </cfRule>
    <cfRule type="expression" priority="326" dxfId="7">
      <formula>$I$145="Manually set to: Red"</formula>
    </cfRule>
    <cfRule type="expression" priority="327" dxfId="2">
      <formula>AND($C$151&lt;=0.001,ISNUMBER($C$151))</formula>
    </cfRule>
    <cfRule type="expression" priority="328" dxfId="7">
      <formula>OR($C$145="Aqua. Acute 1: H400",$C$145="Aqua. Chronic 1: H410",$C$145="Aqua. Chronic 2: H411",$C$145="Aqua. Chronic 3: H412",$C$145="Aqua. Chronic 4: H413")</formula>
    </cfRule>
    <cfRule type="expression" priority="329" dxfId="7">
      <formula>AND($C$147&lt;10,ISNUMBER($C$147))</formula>
    </cfRule>
    <cfRule type="expression" priority="330" dxfId="7">
      <formula>AND($C$148&lt;1,ISNUMBER($C$148))</formula>
    </cfRule>
    <cfRule type="expression" priority="331" dxfId="2">
      <formula>AND($C$147&gt;=100,ISNUMBER($C$147),$C$148&gt;=10,ISNUMBER($C$148))</formula>
    </cfRule>
    <cfRule type="expression" priority="332" dxfId="4">
      <formula>OR($C$145="Aqua. Acute 2: H401",$C$145="Aqua. Acute 3: H402")</formula>
    </cfRule>
    <cfRule type="expression" priority="333" dxfId="4">
      <formula>AND($C$148&gt;=1,ISNUMBER($C$148),$C$147&gt;=10,ISNUMBER($C$147))</formula>
    </cfRule>
    <cfRule type="expression" priority="334" dxfId="2">
      <formula>AND($C$147&gt;=100,ISNUMBER($C$147))</formula>
    </cfRule>
    <cfRule type="expression" priority="335" dxfId="2">
      <formula>AND($C$148&gt;=10,ISNUMBER($C$148))</formula>
    </cfRule>
  </conditionalFormatting>
  <conditionalFormatting sqref="I155:I156">
    <cfRule type="expression" priority="68" dxfId="12">
      <formula>$I$155="Manually set to: Grey"</formula>
    </cfRule>
    <cfRule type="expression" priority="74" dxfId="2">
      <formula>$I$155="Manually set to: Green"</formula>
    </cfRule>
    <cfRule type="expression" priority="89" dxfId="4">
      <formula>$I$155="Manually set to: Yellow"</formula>
    </cfRule>
    <cfRule type="expression" priority="336" dxfId="7">
      <formula>$I$155="Manually set to: Red"</formula>
    </cfRule>
    <cfRule type="expression" priority="337" dxfId="2">
      <formula>AND($C$161&lt;=0.001,ISNUMBER($C$161))</formula>
    </cfRule>
    <cfRule type="expression" priority="338" dxfId="7">
      <formula>OR($C$155="Aqua. Acute 1: H400",$C$155="Aqua. Chronic 1: H410",$C$155="Aqua. Chronic 2: H411",$C$155="Aqua. Chronic 3: H412",$C$155="Aqua. Chronic 4: H413")</formula>
    </cfRule>
    <cfRule type="expression" priority="339" dxfId="7">
      <formula>AND($C$157&lt;10,ISNUMBER($C$157))</formula>
    </cfRule>
    <cfRule type="expression" priority="340" dxfId="7">
      <formula>AND($C$158&lt;1,ISNUMBER($C$158))</formula>
    </cfRule>
    <cfRule type="expression" priority="341" dxfId="2">
      <formula>AND($C$158&gt;=10,ISNUMBER($C$158),$C$157&gt;=100,ISNUMBER($C$157))</formula>
    </cfRule>
    <cfRule type="expression" priority="342" dxfId="4">
      <formula>AND($C$157&gt;=10,ISNUMBER($C$157),$C$158&gt;=1,ISNUMBER($C$158))</formula>
    </cfRule>
    <cfRule type="expression" priority="343" dxfId="4">
      <formula>OR($C$155="Aqua. Acute 2: H401",$C$155="Aqua. Acute 3: H402")</formula>
    </cfRule>
    <cfRule type="expression" priority="344" dxfId="2">
      <formula>AND($C$157&gt;=100,ISNUMBER($C$157))</formula>
    </cfRule>
    <cfRule type="expression" priority="345" dxfId="2">
      <formula>AND($C$158&gt;=10,ISNUMBER($C$158))</formula>
    </cfRule>
  </conditionalFormatting>
  <conditionalFormatting sqref="I165:I166">
    <cfRule type="expression" priority="67" dxfId="12">
      <formula>$I$165="Manually set to: Grey"</formula>
    </cfRule>
    <cfRule type="expression" priority="88" dxfId="2">
      <formula>$I$165="Manually set to: Green"</formula>
    </cfRule>
    <cfRule type="expression" priority="346" dxfId="4">
      <formula>$I$165="Manually set to: Yellow"</formula>
    </cfRule>
    <cfRule type="expression" priority="347" dxfId="7">
      <formula>$I$165="Manually set to: Red"</formula>
    </cfRule>
    <cfRule type="expression" priority="348" dxfId="2">
      <formula>AND($C$171&lt;=0.001,ISNUMBER($C$171))</formula>
    </cfRule>
    <cfRule type="expression" priority="349" dxfId="7">
      <formula>OR($C$165="Aqua. Acute 1: H400",$C$165="Aqua. Chronic 1: H410",$C$165="Aqua. Chronic 2: H411",$C$165="Aqua. Chronic 3: H412",$C$165="Aqua. Chronic 4: H413")</formula>
    </cfRule>
    <cfRule type="expression" priority="350" dxfId="7">
      <formula>AND($C$167&lt;10,ISNUMBER($C$167))</formula>
    </cfRule>
    <cfRule type="expression" priority="351" dxfId="7">
      <formula>AND($C$168&lt;1,ISNUMBER($C$168))</formula>
    </cfRule>
    <cfRule type="expression" priority="352" dxfId="2">
      <formula>AND($C$167&gt;=100,ISNUMBER($C$167),$C$168&gt;=10,ISNUMBER($C$168))</formula>
    </cfRule>
    <cfRule type="expression" priority="353" dxfId="4">
      <formula>OR($C$165="Aqua. Acute 2: H401",$C$165="Aqua. Acute 3: H402")</formula>
    </cfRule>
    <cfRule type="expression" priority="354" dxfId="4">
      <formula>AND($C$167&gt;=10,ISNUMBER($C$167),$C$168&gt;=1,ISNUMBER($C$168))</formula>
    </cfRule>
    <cfRule type="expression" priority="355" dxfId="2">
      <formula>AND($C$167&gt;=100,ISNUMBER($C$167))</formula>
    </cfRule>
    <cfRule type="expression" priority="356" dxfId="2">
      <formula>AND($C$168&gt;=10,ISNUMBER($C$168))</formula>
    </cfRule>
  </conditionalFormatting>
  <conditionalFormatting sqref="I195:I196">
    <cfRule type="expression" priority="70" dxfId="13">
      <formula>$I$195="Manually set to: Purple"</formula>
    </cfRule>
    <cfRule type="expression" priority="71" dxfId="12">
      <formula>$I$195="Manually set to: Grey"</formula>
    </cfRule>
    <cfRule type="expression" priority="72" dxfId="2">
      <formula>$I$195="Manually set to: Green"</formula>
    </cfRule>
    <cfRule type="expression" priority="73" dxfId="4">
      <formula>$I$195="Manually set to: Yellow"</formula>
    </cfRule>
    <cfRule type="expression" priority="357" dxfId="7">
      <formula>$I$195="Manually set to: Red"</formula>
    </cfRule>
    <cfRule type="expression" priority="358" dxfId="2">
      <formula>AND($C$198&gt;=1000,ISNUMBER($C$198))</formula>
    </cfRule>
    <cfRule type="expression" priority="359" dxfId="2">
      <formula>AND($C$197&lt;2,ISNUMBER($C$197))</formula>
    </cfRule>
    <cfRule type="expression" priority="360" dxfId="13">
      <formula>AND($B$195="BCF/BAF (experimental):",$C$195&gt;5000,ISNUMBER($C$195))</formula>
    </cfRule>
    <cfRule type="expression" priority="361" dxfId="13">
      <formula>AND($B$195="BCF/BAF (QSAR):",$C$195&gt;5000,$C$197&lt;6,ISNUMBER($C$195),ISNUMBER($C$197))</formula>
    </cfRule>
    <cfRule type="expression" priority="362" dxfId="7">
      <formula>AND($B$195="BCF/BAF (QSAR):",$C$195&gt;2000,$C$195&lt;=5000,$C$197&lt;6,ISNUMBER($C$195),ISNUMBER($C$197))</formula>
    </cfRule>
    <cfRule type="expression" priority="363" dxfId="7">
      <formula>AND($B$195="BCF/BAF (experimental):",$C$195&gt;2000,ISNUMBER($C$195))</formula>
    </cfRule>
    <cfRule type="expression" priority="364" dxfId="4">
      <formula>AND($B$195="BCF/BAF (experimental):",$C$195&gt;500,ISNUMBER($C$195))</formula>
    </cfRule>
    <cfRule type="expression" priority="365" dxfId="4">
      <formula>AND($B$195="BCF/BAF (QSAR):",$C$195&gt;500,$C$197&lt;6,ISNUMBER($C$195),ISNUMBER($C$197))</formula>
    </cfRule>
    <cfRule type="expression" priority="366" dxfId="2">
      <formula>AND($B$195="BCF/BAF (QSAR):",$C$195&lt;=500,$C$197&lt;6,ISNUMBER($C$195),ISNUMBER($C$197))</formula>
    </cfRule>
    <cfRule type="expression" priority="367" dxfId="2">
      <formula>AND($B$195="BCF/BAF (experimental):",$C$195&lt;=500,ISNUMBER($C$195))</formula>
    </cfRule>
  </conditionalFormatting>
  <conditionalFormatting sqref="I52:I53">
    <cfRule type="expression" priority="97" dxfId="12">
      <formula>$I$52="Manually set to: Grey"</formula>
    </cfRule>
    <cfRule type="expression" priority="98" dxfId="7">
      <formula>$I$52="Manually set to: Red"</formula>
    </cfRule>
    <cfRule type="expression" priority="99" dxfId="4">
      <formula>$I$52="Manually set to: Yellow"</formula>
    </cfRule>
    <cfRule type="expression" priority="100" dxfId="2">
      <formula>$I$52="Manually set to: Green"</formula>
    </cfRule>
    <cfRule type="expression" priority="101" dxfId="7">
      <formula>OR($C$52="Muta. 1A: H340: May cause genetic defects",$C$52="Muta. 1B: H340: May cause genetic defects",$C$52="Muta. 2: H341: Suspected of causing genetic defects",$C$52="MAK IX 1",$C$52="MAK IX 2",$C$52="MAK IX 3A",$C$52="MAK IX 3B")</formula>
    </cfRule>
  </conditionalFormatting>
  <conditionalFormatting sqref="I116:I117">
    <cfRule type="expression" priority="91" dxfId="12">
      <formula>$I$116="Manually set to: Grey"</formula>
    </cfRule>
    <cfRule type="expression" priority="92" dxfId="2">
      <formula>$I$116="Manually set to: Green"</formula>
    </cfRule>
    <cfRule type="expression" priority="93" dxfId="4">
      <formula>$I$116="Manually set to: Yellow"</formula>
    </cfRule>
    <cfRule type="expression" priority="94" dxfId="7">
      <formula>$I$116="Manually set to: Red"</formula>
    </cfRule>
    <cfRule type="expression" priority="369" dxfId="7">
      <formula>$C$118="Eye damaging according to testing"</formula>
    </cfRule>
    <cfRule type="expression" priority="370" dxfId="7">
      <formula>$C$116="Skin corrosive according to testing"</formula>
    </cfRule>
    <cfRule type="expression" priority="371" dxfId="7">
      <formula>$C$120="Corrosive according to testing"</formula>
    </cfRule>
    <cfRule type="expression" priority="372" dxfId="7">
      <formula>$C$118="Eye Dam. 1: H318 Causes serious eye damage"</formula>
    </cfRule>
    <cfRule type="expression" priority="373" dxfId="7">
      <formula>$C$116="Skin Corr. 1: H314 Causes severe skin burns and eye damage"</formula>
    </cfRule>
    <cfRule type="expression" priority="374" dxfId="4">
      <formula>$C$120="STOT SE 3: H335 May cause respiratory tract irritation"</formula>
    </cfRule>
    <cfRule type="expression" priority="375" dxfId="4">
      <formula>$C$120="Irritating according to testing"</formula>
    </cfRule>
    <cfRule type="expression" priority="376" dxfId="4">
      <formula>$C$118="Eye irritating according to testing"</formula>
    </cfRule>
    <cfRule type="expression" priority="377" dxfId="4">
      <formula>$C$116="Skin irritating according to testing"</formula>
    </cfRule>
    <cfRule type="expression" priority="378" dxfId="4">
      <formula>$C$118="Eye irrit. 2b: H320 Causes eye irritation"</formula>
    </cfRule>
    <cfRule type="expression" priority="379" dxfId="4">
      <formula>$C$118="Eye irrit. 2a: H319 Causes serious eye irritation"</formula>
    </cfRule>
    <cfRule type="expression" priority="380" dxfId="4">
      <formula>$C$116="Skin Irrit. 2: H315 Causes skin irritation"</formula>
    </cfRule>
    <cfRule type="expression" priority="381" dxfId="2">
      <formula>$C$116="Not irritating according to testing"</formula>
    </cfRule>
    <cfRule type="expression" priority="382" dxfId="2">
      <formula>$C$120="Not irritating according to testing"</formula>
    </cfRule>
    <cfRule type="expression" priority="383" dxfId="2">
      <formula>$C$118="Not irritating according to testing"</formula>
    </cfRule>
  </conditionalFormatting>
  <conditionalFormatting sqref="I116:I123">
    <cfRule type="expression" priority="368" dxfId="7">
      <formula>AND(ISNUMBER($C$121),$B$121="No studies available: pH =",OR($C$121&lt;=2,$C$121&gt;=11.5))</formula>
    </cfRule>
  </conditionalFormatting>
  <conditionalFormatting sqref="B196">
    <cfRule type="expression" priority="76" dxfId="0">
      <formula>$B$121="No studies available: pH ="</formula>
    </cfRule>
  </conditionalFormatting>
  <conditionalFormatting sqref="J182:J183 J185:J193">
    <cfRule type="expression" priority="23" dxfId="12">
      <formula>#REF!="Manually set to: Grey"</formula>
    </cfRule>
    <cfRule type="expression" priority="24" dxfId="7">
      <formula>#REF!="Manually set to: Red"</formula>
    </cfRule>
    <cfRule type="expression" priority="25" dxfId="4">
      <formula>#REF!="Manually set to: Yellow"</formula>
    </cfRule>
    <cfRule type="expression" priority="26" dxfId="2">
      <formula>#REF!="Manually set to: Green"</formula>
    </cfRule>
  </conditionalFormatting>
  <conditionalFormatting sqref="I182:I183">
    <cfRule type="expression" priority="19" dxfId="12">
      <formula>#REF!="Manually set to: Grey"</formula>
    </cfRule>
    <cfRule type="expression" priority="20" dxfId="2">
      <formula>#REF!="Manually set to: Green"</formula>
    </cfRule>
    <cfRule type="expression" priority="21" dxfId="4">
      <formula>#REF!="Manually set to: Yellow"</formula>
    </cfRule>
    <cfRule type="expression" priority="22" dxfId="7">
      <formula>#REF!="Manually set to: Red"</formula>
    </cfRule>
  </conditionalFormatting>
  <conditionalFormatting sqref="I185:I193">
    <cfRule type="expression" priority="399" dxfId="13">
      <formula>#REF!="Manually set to: Purple"</formula>
    </cfRule>
    <cfRule type="expression" priority="400" dxfId="12">
      <formula>#REF!="Manually set to: Grey"</formula>
    </cfRule>
    <cfRule type="expression" priority="401" dxfId="2">
      <formula>#REF!="Manually set to: Green"</formula>
    </cfRule>
    <cfRule type="expression" priority="402" dxfId="4">
      <formula>#REF!="Manually set to: Yellow"</formula>
    </cfRule>
    <cfRule type="expression" priority="403" dxfId="7">
      <formula>#REF!="Manually set to: Red"</formula>
    </cfRule>
    <cfRule type="expression" priority="404" dxfId="7" stopIfTrue="1">
      <formula>AND(#REF!="% DOC biodegradation after 28 days:",#REF!&lt;20,ISNUMBER(#REF!))</formula>
    </cfRule>
    <cfRule type="expression" priority="405" dxfId="7">
      <formula>AND(#REF!="% ThOD biodegradation after 28 days:",#REF!&lt;20,ISNUMBER(#REF!))</formula>
    </cfRule>
    <cfRule type="expression" priority="406" dxfId="4">
      <formula>#REF!="Substance is inherently biodegradable"</formula>
    </cfRule>
    <cfRule type="expression" priority="407" dxfId="4">
      <formula>AND(#REF!="% ThOD biodegradation after 28 days:",#REF!&lt;60,#REF!&gt;=20,ISNUMBER(#REF!))</formula>
    </cfRule>
    <cfRule type="expression" priority="408" dxfId="4">
      <formula>AND(#REF!="% DOC biodegradation after 28 days:",#REF!&lt;70,#REF!&gt;=20,ISNUMBER(#REF!))</formula>
    </cfRule>
    <cfRule type="expression" priority="409" dxfId="2">
      <formula>AND(#REF!="% ThOD biodegradation after 28 days:",#REF!&gt;=60,ISNUMBER(#REF!))</formula>
    </cfRule>
    <cfRule type="expression" priority="410" dxfId="2">
      <formula>AND(#REF!="% DOC biodegradation after 28 days:",#REF!&gt;=70,ISNUMBER(#REF!))</formula>
    </cfRule>
  </conditionalFormatting>
  <conditionalFormatting sqref="E196">
    <cfRule type="expression" priority="2" dxfId="0">
      <formula>$B$121="No studies available: pH ="</formula>
    </cfRule>
  </conditionalFormatting>
  <conditionalFormatting sqref="B195">
    <cfRule type="expression" priority="1" dxfId="0">
      <formula>$B$121="No studies available: pH ="</formula>
    </cfRule>
  </conditionalFormatting>
  <dataValidations count="31">
    <dataValidation sqref="C54:E58" showDropDown="0" showInputMessage="1" showErrorMessage="0" allowBlank="1" type="list">
      <formula1>"In vitro bact: OECD 471 (Ames), In vitro mam: OECD 476, In vitro mam: OECD 490, In vivo mam: OECD 488, In vivo mam: OECD 486, In vivo mam: OECD 489,No data"</formula1>
    </dataValidation>
    <dataValidation sqref="C39:F41" showDropDown="0" showInputMessage="1" showErrorMessage="0" allowBlank="1" type="list">
      <formula1>"Not listed,Carc. 1A: H350: May cause cancer,Carc. 1B: H350: May cause cancer,Carc. 2: H351: Suspected of causing cancer,MAK III 1,MAK III 2,MAK III 3B,MAK III 3A,MAK III 4,MAK III 5,IARC 1,IARC 2A,IARC 2B,IARC 3,IARC 4,TLV A1,TLV A2,TLV A3,TLV A4,TLV A5"</formula1>
    </dataValidation>
    <dataValidation sqref="F54:F58" showDropDown="0" showInputMessage="1" showErrorMessage="0" allowBlank="1" type="list">
      <formula1>"Positive,Negative"</formula1>
    </dataValidation>
    <dataValidation sqref="B69 B76" showDropDown="0" showInputMessage="1" showErrorMessage="1" allowBlank="1" type="list">
      <formula1>"Oral NOAEL =,Inhalation NOAEL ="</formula1>
    </dataValidation>
    <dataValidation sqref="C52:C53 D52:F52" showDropDown="0" showInputMessage="1" showErrorMessage="1" allowBlank="1" type="list">
      <formula1>"Muta. 1A: H340: May cause genetic defects,Muta. 1B: H340: May cause genetic defects,Muta. 2: H341: Suspected of causing genetic defects,MAK IX 1,MAK IX 2,MAK IX 3A, MAK IX 3B, Not listed"</formula1>
    </dataValidation>
    <dataValidation sqref="I20:J33 I39:J45 I47:J50 I52:J53 I67:I72 I74:I79 I81:J87 I89:I95 I97:J97 I109:I114 I116:J117 I125:I131 I140:I141 I145:J146 I155:J156 I165:J166 I175:J180 I182:J183 I208:J213 I215:J216 J67:J68 J74:J75 J89:J90 J109 J125:J127 J140:J142 J185:J193 J195:J196 J217" showDropDown="0" showInputMessage="1" showErrorMessage="1" allowBlank="1" type="list">
      <formula1>"Manually set to: Green,Manually set to: Yellow,Manually set to: Red,Manually set to: Grey"</formula1>
    </dataValidation>
    <dataValidation sqref="B99:B101" showDropDown="0" showInputMessage="1" showErrorMessage="1" allowBlank="1" type="list">
      <formula1>"Acute: LC50 (gas) =,Acute: LC50 (vapor) =,Acute: LC50 (dust/mist/aerosol) ="</formula1>
    </dataValidation>
    <dataValidation sqref="B102:B104" showDropDown="0" showInputMessage="1" showErrorMessage="1" allowBlank="1" type="list">
      <formula1>"Chronic: LOAEL (gas) =,Chronic: LOAEL (vapor) =,Chronic: LOAEL (dust/mist/aerosol) ="</formula1>
    </dataValidation>
    <dataValidation sqref="I185:I193 I195:I196" showDropDown="0" showInputMessage="1" showErrorMessage="1" allowBlank="1" type="list">
      <formula1>"Manually set to: Green,Manually set to: Yellow,Manually set to: Red,Manually set to: Grey,Manually set to: Purple"</formula1>
    </dataValidation>
    <dataValidation sqref="C74:C75" showDropDown="0" showInputMessage="1" showErrorMessage="1" allowBlank="1" type="list">
      <formula1>"Not listed,Repr. 1A: H360: May damage fertility or the unborn child,Repr. 1B: H360: May damage fertility or the unborn child, Repr. 2: H361: Suspected of damaging fertility or the unborn child,MAK A,MAK B,MAK C"</formula1>
    </dataValidation>
    <dataValidation sqref="C91" showDropDown="0" showInputMessage="1" showErrorMessage="1" allowBlank="1" type="list">
      <formula1>"/,STOT SE 1: H370: Causes damage to organs via oral exposure,STOT SE 2: H371: May cause damage to organs via oral exposure,STOT RE 1: H372: Causes damage via repeated oral exposure,STOT RE 2: H373: May cause damage via repeated oral exposure"</formula1>
    </dataValidation>
    <dataValidation sqref="C89" showDropDown="0" showInputMessage="1" showErrorMessage="1" allowBlank="1" type="list">
      <formula1>"Not classified, Acute Tox. 1: H300: Fatal if swallowed,Acute Tox. 2: H300: Fatal if swallowed,Acute Tox. 3: H301: Toxic if swallowed,Acute Tox. 4: H302: Harmful if swallowed,Asp. Tox. 1: H304: May be fatal if swallowed and enters airways"</formula1>
    </dataValidation>
    <dataValidation sqref="C109" showDropDown="0" showInputMessage="1" showErrorMessage="1" allowBlank="1" type="list">
      <formula1>"Not classified,Acute Tox. 1: H310: Fatal in contact with skin,Acute Tox. 2: H310: Fatal in contact with skin,Acute Tox. 3: H311: Toxic in contact with skin,Acute Tox. 4: H312: Harmful in contact with skin"</formula1>
    </dataValidation>
    <dataValidation sqref="C110" showDropDown="0" showInputMessage="1" showErrorMessage="1" allowBlank="1" type="list">
      <formula1>"/,STOT SE 1: H370: Causes damage to organs via dermal exposure,STOT SE 2: H371: May cause damage to organs via dermal exposure,STOT RE 1: H372: Causes damage via repeated dermal exposure,STOT RE 2: H373: May cause damage via repeated dermal exposure"</formula1>
    </dataValidation>
    <dataValidation sqref="C116:F117" showDropDown="0" showInputMessage="1" showErrorMessage="1" allowBlank="1" type="list">
      <formula1>"Skin Corr. 1: H314 Causes severe skin burns and eye damage, Skin Irrit. 2: H315 Causes skin irritation, Not irritating according to testing,Skin irritating according to testing,Skin corrosive according to testing,No data"</formula1>
    </dataValidation>
    <dataValidation sqref="C97" showDropDown="0" showInputMessage="1" showErrorMessage="1" allowBlank="1" type="list">
      <formula1>"Not classified,Acute Tox. 1: H330: Fatal if inhaled,Acute Tox. 2: H330: Fatal if inhaled,Acute Tox. 3: H331: Toxic if inhaled,Acute Tox. 4: H332: Harmful if inhaled"</formula1>
    </dataValidation>
    <dataValidation sqref="C98" showDropDown="0" showInputMessage="1" showErrorMessage="1" allowBlank="1" type="list">
      <formula1>"/,STOT SE 1: H370: Damages organs via inhal. exp.,STOT SE 2: H371: May damage organs via inhal. exp.,STOT RE 1: H372: Damages organs via repeated inhal. exp.,STOT RE 2: H373: May damage organs via repeated inhal. exp.,STOT SE 3: H336: May cause drowsiness"</formula1>
    </dataValidation>
    <dataValidation sqref="C145:F146 C155:F156 C165:F166" showDropDown="0" showInputMessage="1" showErrorMessage="1" allowBlank="1" type="list">
      <formula1>"Not Classified,Aqua. Acute 1: H400,Aqua. Acute 2: H401,Aqua. Acute 3: H402,Aqua. Chronic 1: H410,Aqua. Chronic 2: H411,Aqua. Chronic 3: H412,Aqua. Chronic 4: H413"</formula1>
    </dataValidation>
    <dataValidation sqref="C118:F119" showDropDown="0" showInputMessage="1" showErrorMessage="0" allowBlank="1" type="list">
      <formula1>"Eye Dam. 1: H318 Causes serious eye damage,Eye irrit. 2a: H319 Causes serious eye irritation,Eye irrit. 2b: H320 Causes eye irritation,Not irritating according to testing,Eye irritating according to testing,Eye damaging according to testing,No data"</formula1>
    </dataValidation>
    <dataValidation sqref="C120:D121 E120:F122" showDropDown="0" showInputMessage="1" showErrorMessage="1" allowBlank="1" type="list">
      <formula1>"STOT SE 3: H335 May cause respiratory tract irritation, Not irritating according to testing, Irritating according to testing, Corrosive according to testing, No data"</formula1>
    </dataValidation>
    <dataValidation sqref="B188:B191 B193 C185:C187 C189:C191" showDropDown="0" showInputMessage="1" showErrorMessage="1" allowBlank="1" type="list">
      <formula1>"% DOC biodegradation after 28 days:,% ThOD biodegradation after 28 days:,Substance is inherently biodegradable,Degradation halflife time in air:,Degradation halflife time in water, soil or sediment:,QSAR prediction:"</formula1>
    </dataValidation>
    <dataValidation sqref="C125:F127" showDropDown="0" showInputMessage="1" showErrorMessage="1" allowBlank="1" type="list">
      <formula1>"Skin Sens. 1: H317 May cause an allergic skin reaction,MAK Sh,Not sensitzing according to testing,Sensitizing according to testing,No data"</formula1>
    </dataValidation>
    <dataValidation sqref="C128:F130" showDropDown="0" showInputMessage="1" showErrorMessage="1" allowBlank="1" type="list">
      <formula1>" Resp. Sens. 1: H334 May cause allergy or asthma symptoms or breathing difficulties if inhaled, MAK Sa, Not sensitzing according to testing, Sensitizing according to testing, No data"</formula1>
    </dataValidation>
    <dataValidation sqref="B195:B196" showDropDown="0" showInputMessage="1" showErrorMessage="1" allowBlank="1" type="list">
      <formula1>"BCF/BAF (experimental):,BCF/BAF (QSAR):"</formula1>
    </dataValidation>
    <dataValidation sqref="C67:F68" showDropDown="0" showInputMessage="1" showErrorMessage="1" allowBlank="1" type="list">
      <formula1>"Not listed,Repr. 1A: H360: May damage fertility or the unborn child,Repr. 1B: H360: May damage fertility or the unborn child, Repr. 2: H361: Suspected of damaging fertility or the unborn child,MAK A,MAK B,MAK C,H362: Reproductive toxic through lactation"</formula1>
    </dataValidation>
    <dataValidation sqref="C59:E63" showDropDown="0" showInputMessage="1" showErrorMessage="0" allowBlank="1" type="list">
      <formula1>"In vitro mam: OECD 473,In vitro mam: OECD 487,In vivo mam: OECD 478,In vivo mam: OECD 483,In vivo mam: OECD 485,In vivo mam: OECD 474,In vivo mam: OECD 475,In vivo mam: OECD 488,In vivo mam: OECD 486,In vivo mam: OECD 489,No data"</formula1>
    </dataValidation>
    <dataValidation sqref="F59:F63" showDropDown="0" showInputMessage="1" showErrorMessage="1" allowBlank="1" type="list">
      <formula1>"Positive,Negative"</formula1>
    </dataValidation>
    <dataValidation sqref="C48:F48" showDropDown="0" showInputMessage="1" showErrorMessage="1" allowBlank="1" type="list">
      <formula1>"Sufficient evidence of endorcrine effects in humans, Evidence of endocrine effects in animals/micro organisms, Endocrine activity observed but no endocrine disruption"</formula1>
    </dataValidation>
    <dataValidation sqref="C83" showDropDown="0" showInputMessage="1" showErrorMessage="1" allowBlank="1" type="list">
      <formula1>"Yes,No"</formula1>
    </dataValidation>
    <dataValidation sqref="C24" showDropDown="0" showInputMessage="1" showErrorMessage="1" allowBlank="1" type="list">
      <formula1>"No,Dyestuff,Pigment,Azo Group,Azo Group with Reductively Cleavable Aromatic Amine"</formula1>
    </dataValidation>
    <dataValidation sqref="C90" showDropDown="0" showInputMessage="1" showErrorMessage="1" allowBlank="1" type="list">
      <formula1>"Not classified, Asp. Tox. 1: H304: May be fatal if swallowed and enters airways"</formula1>
    </dataValidation>
  </dataValidations>
  <hyperlinks>
    <hyperlink xmlns:r="http://schemas.openxmlformats.org/officeDocument/2006/relationships" ref="B230" r:id="rId1"/>
    <hyperlink xmlns:r="http://schemas.openxmlformats.org/officeDocument/2006/relationships" ref="B231" r:id="rId2"/>
    <hyperlink xmlns:r="http://schemas.openxmlformats.org/officeDocument/2006/relationships" ref="B232" r:id="rId3"/>
    <hyperlink xmlns:r="http://schemas.openxmlformats.org/officeDocument/2006/relationships" ref="B233" r:id="rId4"/>
    <hyperlink xmlns:r="http://schemas.openxmlformats.org/officeDocument/2006/relationships" ref="B234" r:id="rId5"/>
    <hyperlink xmlns:r="http://schemas.openxmlformats.org/officeDocument/2006/relationships" ref="B235" r:id="rId6"/>
    <hyperlink xmlns:r="http://schemas.openxmlformats.org/officeDocument/2006/relationships" ref="B236" r:id="rId7"/>
    <hyperlink xmlns:r="http://schemas.openxmlformats.org/officeDocument/2006/relationships" ref="B237" r:id="rId8"/>
    <hyperlink xmlns:r="http://schemas.openxmlformats.org/officeDocument/2006/relationships" ref="B238" r:id="rId9"/>
    <hyperlink xmlns:r="http://schemas.openxmlformats.org/officeDocument/2006/relationships" ref="B239" r:id="rId10"/>
    <hyperlink xmlns:r="http://schemas.openxmlformats.org/officeDocument/2006/relationships" ref="B240" r:id="rId11"/>
    <hyperlink xmlns:r="http://schemas.openxmlformats.org/officeDocument/2006/relationships" ref="B241" r:id="rId12"/>
    <hyperlink xmlns:r="http://schemas.openxmlformats.org/officeDocument/2006/relationships" ref="B242" r:id="rId13"/>
    <hyperlink xmlns:r="http://schemas.openxmlformats.org/officeDocument/2006/relationships" ref="B243" r:id="rId14"/>
    <hyperlink xmlns:r="http://schemas.openxmlformats.org/officeDocument/2006/relationships" ref="B244" r:id="rId15"/>
    <hyperlink xmlns:r="http://schemas.openxmlformats.org/officeDocument/2006/relationships" ref="B245" r:id="rId16"/>
    <hyperlink xmlns:r="http://schemas.openxmlformats.org/officeDocument/2006/relationships" ref="B246" r:id="rId17"/>
    <hyperlink xmlns:r="http://schemas.openxmlformats.org/officeDocument/2006/relationships" ref="B247" r:id="rId18"/>
    <hyperlink xmlns:r="http://schemas.openxmlformats.org/officeDocument/2006/relationships" ref="B248" r:id="rId19"/>
    <hyperlink xmlns:r="http://schemas.openxmlformats.org/officeDocument/2006/relationships" ref="B249" r:id="rId20"/>
    <hyperlink xmlns:r="http://schemas.openxmlformats.org/officeDocument/2006/relationships" ref="B250" r:id="rId21"/>
    <hyperlink xmlns:r="http://schemas.openxmlformats.org/officeDocument/2006/relationships" ref="B253" r:id="rId22"/>
  </hyperlinks>
  <pageMargins left="0.36" right="0.36" top="0.6100000000000001" bottom="0.6100000000000001" header="0.3" footer="0.3"/>
  <pageSetup orientation="portrait" paperSize="9" scale="58" horizontalDpi="4294967292" verticalDpi="4294967292"/>
  <headerFooter>
    <oddHeader/>
    <oddFooter>&amp;L&amp;"Calibri,Regular"&amp;K000000Chemical profiling sheet - 2014</oddFooter>
    <evenHeader/>
    <evenFooter/>
    <firstHeader/>
    <firstFooter/>
  </headerFooter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E11"/>
  <sheetViews>
    <sheetView workbookViewId="0">
      <selection activeCell="A20" sqref="A20"/>
    </sheetView>
  </sheetViews>
  <sheetFormatPr baseColWidth="10" defaultColWidth="11" defaultRowHeight="16"/>
  <cols>
    <col width="22.6640625" customWidth="1" style="112" min="1" max="1"/>
  </cols>
  <sheetData>
    <row r="1">
      <c r="A1" t="inlineStr">
        <is>
          <t>Mutation entry</t>
        </is>
      </c>
      <c r="D1" t="inlineStr">
        <is>
          <t>Password to unlock sheet: Arche</t>
        </is>
      </c>
    </row>
    <row r="2">
      <c r="A2" t="inlineStr">
        <is>
          <t>Click here to add test</t>
        </is>
      </c>
    </row>
    <row r="3">
      <c r="A3" s="57" t="inlineStr">
        <is>
          <t>Point mutations: (OECD)</t>
        </is>
      </c>
    </row>
    <row r="4">
      <c r="A4" s="57" t="inlineStr">
        <is>
          <t>Chromosome damaging: (OECD)</t>
        </is>
      </c>
    </row>
    <row r="5">
      <c r="A5" s="57" t="inlineStr">
        <is>
          <t>Mutagenicity test: (other)</t>
        </is>
      </c>
    </row>
    <row r="8">
      <c r="A8" s="106" t="inlineStr">
        <is>
          <t>Classified or listed:</t>
        </is>
      </c>
      <c r="B8" s="73" t="inlineStr">
        <is>
          <t>Not listed</t>
        </is>
      </c>
      <c r="C8" s="61" t="n"/>
      <c r="D8" s="61" t="n"/>
      <c r="E8" s="117" t="n"/>
    </row>
    <row r="9">
      <c r="A9" s="106" t="inlineStr">
        <is>
          <t>Point mutations:</t>
        </is>
      </c>
      <c r="B9" s="90" t="inlineStr">
        <is>
          <t>No data</t>
        </is>
      </c>
      <c r="C9" s="61" t="n"/>
      <c r="D9" s="61" t="n"/>
      <c r="E9" s="111" t="n"/>
    </row>
    <row r="10">
      <c r="A10" s="106" t="inlineStr">
        <is>
          <t>Chromosome damaging:</t>
        </is>
      </c>
      <c r="B10" s="73" t="inlineStr">
        <is>
          <t>No data</t>
        </is>
      </c>
      <c r="C10" s="61" t="n"/>
      <c r="D10" s="117" t="n"/>
      <c r="E10" s="111" t="n"/>
    </row>
    <row r="11">
      <c r="A11" s="106" t="inlineStr">
        <is>
          <t>Mutagenicity test: (other)</t>
        </is>
      </c>
      <c r="B11" s="73" t="inlineStr">
        <is>
          <t>Fill in name of test</t>
        </is>
      </c>
      <c r="C11" s="61" t="n"/>
      <c r="D11" s="117" t="n"/>
      <c r="E11" s="11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H8KiJdHsusYmweCHDTuAqw==" formatRows="1" sort="1" spinCount="100000" hashValue="Nhk5g2NGnXBf/qmD5F/dnc/+q6DGVf5Ugnu4V+RWhjhCJToVW2G0nAcx44Ch53Nb0of2qw30DKtcxj5UecoutQ=="/>
  <mergeCells count="4">
    <mergeCell ref="B10:D10"/>
    <mergeCell ref="B11:D11"/>
    <mergeCell ref="B9:D9"/>
    <mergeCell ref="B8:E8"/>
  </mergeCells>
  <dataValidations count="6">
    <dataValidation sqref="B8:E8" showDropDown="0" showInputMessage="1" showErrorMessage="1" allowBlank="1" type="list">
      <formula1>"Muta. 1A: H340: May cause genetic defects,Muta. 1B: H340: May cause genetic defects,Muta. 2: H341: Suspected of causing genetic defects,MAK IX 1,MAK IX 2,MAK IX 3A, MAK IX 3B, Not listed"</formula1>
    </dataValidation>
    <dataValidation sqref="E11" showDropDown="0" showInputMessage="1" showErrorMessage="0" allowBlank="1" type="list">
      <formula1>"Positive,Negative"</formula1>
    </dataValidation>
    <dataValidation sqref="E9:E10" showDropDown="0" showInputMessage="1" showErrorMessage="1" allowBlank="1" type="list">
      <formula1>"Positive,Negative"</formula1>
    </dataValidation>
    <dataValidation sqref="B11" showDropDown="0" showInputMessage="1" showErrorMessage="0" allowBlank="1"/>
    <dataValidation sqref="B10:D10" showDropDown="0" showInputMessage="1" showErrorMessage="0" allowBlank="1" type="list">
      <formula1>"In vitro mam: OECD 473,In vitro mam: OECD 487,In vivo mam: OECD 478,In vivo mam: OECD 483,In vivo mam: OECD 485,In vivo mam: OECD 474,In vivo mam: OECD 475,In vivo mam: OECD 488,In vivo mam: OECD 486,In vivo mam: OECD 489,No data"</formula1>
    </dataValidation>
    <dataValidation sqref="B9:D9" showDropDown="0" showInputMessage="1" showErrorMessage="0" allowBlank="1" type="list">
      <formula1>"In vitro bact: OECD 471 (Ames), In vitro mam: OECD 476, In vitro mam: OECD 490, In vivo mam: OECD 488, In vivo mam: OECD 486, In vivo mam: OECD 489,No data"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patrick.vansprang</dc:creator>
  <dcterms:created xsi:type="dcterms:W3CDTF">2014-01-09T14:40:33Z</dcterms:created>
  <dcterms:modified xsi:type="dcterms:W3CDTF">2025-09-05T16:24:34Z</dcterms:modified>
  <cp:lastModifiedBy>Arnoud Dupon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0x01010092E59A15F3FF6F4AA788B1D026253896</vt:lpwstr>
  </property>
  <property name="MediaServiceImageTags" fmtid="{D5CDD505-2E9C-101B-9397-08002B2CF9AE}" pid="3">
    <vt:lpwstr/>
  </property>
</Properties>
</file>