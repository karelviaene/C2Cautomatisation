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60" windowWidth="29420" windowHeight="1490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centage_assessed" sheetId="2" state="visible" r:id="rId2"/>
    <sheet xmlns:r="http://schemas.openxmlformats.org/officeDocument/2006/relationships" name="risk_assessed" sheetId="3" state="visible" r:id="rId3"/>
    <sheet xmlns:r="http://schemas.openxmlformats.org/officeDocument/2006/relationships" name="detailed_overview" sheetId="4" state="visible" r:id="rId4"/>
  </sheets>
  <definedNames>
    <definedName name="_xlnm._FilterDatabase" localSheetId="3" hidden="1">'detailed_overview'!$A$1:$AH$33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4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3B3B3B"/>
      </font>
      <fill>
        <patternFill patternType="solid">
          <fgColor rgb="00D9D9D9"/>
          <bgColor rgb="00D9D9D9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tabSelected="1" topLeftCell="V1" workbookViewId="0">
      <pane ySplit="1" topLeftCell="A2" activePane="bottomLeft" state="frozen"/>
      <selection pane="bottomLeft" activeCell="C10" sqref="C10"/>
    </sheetView>
  </sheetViews>
  <sheetFormatPr baseColWidth="10" defaultRowHeight="15"/>
  <cols>
    <col width="8.6640625" bestFit="1" customWidth="1" min="1" max="1"/>
    <col width="9.33203125" bestFit="1" customWidth="1" min="2" max="2"/>
    <col width="35.6640625" bestFit="1" customWidth="1" min="3" max="3"/>
    <col width="8.6640625" bestFit="1" customWidth="1" min="5" max="5"/>
    <col width="19.33203125" bestFit="1" customWidth="1" min="6" max="6"/>
    <col width="17.83203125" bestFit="1" customWidth="1" min="7" max="7"/>
    <col width="15.33203125" customWidth="1" min="8" max="8"/>
  </cols>
  <sheetData>
    <row r="1">
      <c r="A1" s="3" t="inlineStr">
        <is>
          <t>Product</t>
        </is>
      </c>
      <c r="B1" s="3" t="inlineStr">
        <is>
          <t>% assessed</t>
        </is>
      </c>
      <c r="C1" s="3" t="inlineStr">
        <is>
          <t>Scenario ID</t>
        </is>
      </c>
      <c r="D1" s="3" t="n"/>
      <c r="E1" s="3" t="inlineStr">
        <is>
          <t>Product</t>
        </is>
      </c>
      <c r="F1" s="3" t="inlineStr">
        <is>
          <t>Homogenous Material</t>
        </is>
      </c>
      <c r="G1" s="3" t="inlineStr">
        <is>
          <t>C2C assessment carcinogenicity</t>
        </is>
      </c>
      <c r="H1" s="3" t="inlineStr">
        <is>
          <t>Scenario ID_carcinogenicity</t>
        </is>
      </c>
      <c r="I1" s="3" t="inlineStr">
        <is>
          <t>C2C assessment disruption of endocrine system</t>
        </is>
      </c>
      <c r="J1" s="3" t="inlineStr">
        <is>
          <t>Scenario ID_endocrine</t>
        </is>
      </c>
      <c r="K1" s="3" t="inlineStr">
        <is>
          <t>C2C assessment mutagenicity genotoxicity</t>
        </is>
      </c>
      <c r="L1" s="3" t="inlineStr">
        <is>
          <t>Scenario ID_mutagenicity</t>
        </is>
      </c>
      <c r="M1" s="3" t="inlineStr">
        <is>
          <t>C2C assessment reproductive toxicity</t>
        </is>
      </c>
      <c r="N1" s="3" t="inlineStr">
        <is>
          <t>Scenario ID_reproductive</t>
        </is>
      </c>
      <c r="O1" s="3" t="inlineStr">
        <is>
          <t>C2C assessment development toxicity</t>
        </is>
      </c>
      <c r="P1" s="3" t="inlineStr">
        <is>
          <t>Scenario ID_development</t>
        </is>
      </c>
      <c r="Q1" s="3" t="inlineStr">
        <is>
          <t>C2C assessment neurotoxicity</t>
        </is>
      </c>
      <c r="R1" s="3" t="inlineStr">
        <is>
          <t>Scenario ID_neurotoxicity</t>
        </is>
      </c>
      <c r="S1" s="3" t="inlineStr">
        <is>
          <t>C2C assessment oral toxicity</t>
        </is>
      </c>
      <c r="T1" s="3" t="inlineStr">
        <is>
          <t>Scenario ID_oral</t>
        </is>
      </c>
      <c r="U1" s="3" t="inlineStr">
        <is>
          <t>C2C assessment inhalative toxicity</t>
        </is>
      </c>
      <c r="V1" s="3" t="inlineStr">
        <is>
          <t>Scenario ID_inhalative</t>
        </is>
      </c>
      <c r="W1" s="3" t="inlineStr">
        <is>
          <t>C2C assessment dermal toxicity</t>
        </is>
      </c>
      <c r="X1" s="3" t="inlineStr">
        <is>
          <t>Scenario ID_dermal</t>
        </is>
      </c>
      <c r="Y1" s="3" t="inlineStr">
        <is>
          <t>C2C assessment skin eye respiratory corrosion irritation</t>
        </is>
      </c>
      <c r="Z1" s="3" t="inlineStr">
        <is>
          <t>Scenario ID_skin_eye</t>
        </is>
      </c>
      <c r="AA1" s="3" t="inlineStr">
        <is>
          <t>C2C assessment sensitization</t>
        </is>
      </c>
      <c r="AB1" s="3" t="inlineStr">
        <is>
          <t>Scenario ID_sensitization</t>
        </is>
      </c>
      <c r="AC1" s="3" t="inlineStr">
        <is>
          <t>C2C assessment fish toxicity</t>
        </is>
      </c>
      <c r="AD1" s="3" t="inlineStr">
        <is>
          <t>Scenario ID_fish</t>
        </is>
      </c>
      <c r="AE1" s="3" t="inlineStr">
        <is>
          <t>C2C assessment invertebrate toxicity</t>
        </is>
      </c>
      <c r="AF1" s="3" t="inlineStr">
        <is>
          <t>Scenario ID_invertebrate</t>
        </is>
      </c>
      <c r="AG1" s="3" t="inlineStr">
        <is>
          <t>C2C assessment algae toxicity</t>
        </is>
      </c>
      <c r="AH1" s="3" t="inlineStr">
        <is>
          <t>Scenario ID_algae</t>
        </is>
      </c>
      <c r="AI1" s="3" t="inlineStr">
        <is>
          <t>C2C assessment terrestrial toxicity</t>
        </is>
      </c>
      <c r="AJ1" s="3" t="inlineStr">
        <is>
          <t>Scenario ID_terrestrial</t>
        </is>
      </c>
      <c r="AK1" s="3" t="inlineStr">
        <is>
          <t>C2C assessment other species toxicity</t>
        </is>
      </c>
      <c r="AL1" s="3" t="inlineStr">
        <is>
          <t>Scenario ID_other_species</t>
        </is>
      </c>
      <c r="AM1" s="3" t="inlineStr">
        <is>
          <t>C2C assessment persistence</t>
        </is>
      </c>
      <c r="AN1" s="3" t="inlineStr">
        <is>
          <t>Scenario ID_persistence</t>
        </is>
      </c>
      <c r="AO1" s="3" t="inlineStr">
        <is>
          <t>C2C assessment bioaccumulation</t>
        </is>
      </c>
      <c r="AP1" s="3" t="inlineStr">
        <is>
          <t>Scenario ID_bioaccumulation</t>
        </is>
      </c>
      <c r="AQ1" s="3" t="inlineStr">
        <is>
          <t>C2C assessment combined pb risk flag</t>
        </is>
      </c>
      <c r="AR1" s="3" t="inlineStr">
        <is>
          <t>Scenario ID_combined_pb</t>
        </is>
      </c>
      <c r="AS1" s="3" t="inlineStr">
        <is>
          <t>C2C assessment combined aquatic risk flag</t>
        </is>
      </c>
      <c r="AT1" s="3" t="inlineStr">
        <is>
          <t>Scenario ID_combined_aquatic</t>
        </is>
      </c>
      <c r="AU1" s="3" t="inlineStr">
        <is>
          <t>C2C assessment climatic relevance ozone depletion potential</t>
        </is>
      </c>
      <c r="AV1" s="3" t="inlineStr">
        <is>
          <t>Scenario ID_ozone</t>
        </is>
      </c>
    </row>
    <row r="2">
      <c r="A2">
        <f t="array" ref="A2">IFERROR(INDEX(_xlfn.UNIQUE(_xlfn._xlws.FILTER(detailed_overview!$A$2:$A$50000,detailed_overview!$A$2:$A$50000&lt;&gt;"")),ROW()-1,1),"")</f>
        <v/>
      </c>
      <c r="B2" s="4">
        <f t="array" ref="B2">IF($A2="","",_xlfn.LET(_xlpm.sc,_xlfn.UNIQUE(_xlfn._xlws.FILTER(detailed_overview!$F$2:$F$50000,detailed_overview!$A$2:$A$50000=$A2)),_xlpm.pct,_xlfn.MAP(_xlpm.sc,_xlfn.LAMBDA(_xlpm.s,MIN(1-SUMIFS(detailed_overview!$I$2:$I$50000,detailed_overview!$A$2:$A$50000,$A2,detailed_overview!$F$2:$F$50000,_xlpm.s,detailed_overview!$G$2:$G$50000,TRUE,detailed_overview!$M$2:$M$50000,"not assessed"),1-SUMIFS(detailed_overview!$J$2:$J$50000,detailed_overview!$A$2:$A$50000,$A2,detailed_overview!$F$2:$F$50000,_xlpm.s,detailed_overview!$G$2:$G$50000,TRUE,detailed_overview!$M$2:$M$50000,"not assessed")))),MIN(_xlpm.pct)))</f>
        <v/>
      </c>
      <c r="C2">
        <f t="array" ref="C2">IF($A2="","",_xlfn.LET(_xlpm.sc,_xlfn.UNIQUE(_xlfn._xlws.FILTER(detailed_overview!$F$2:$F$50000,detailed_overview!$A$2:$A$50000=$A2)),_xlpm.pct,_xlfn.MAP(_xlpm.sc,_xlfn.LAMBDA(_xlpm.s,MIN(1-SUMIFS(detailed_overview!$I$2:$I$50000,detailed_overview!$A$2:$A$50000,$A2,detailed_overview!$F$2:$F$50000,_xlpm.s,detailed_overview!$G$2:$G$50000,TRUE,detailed_overview!$M$2:$M$50000,"not assessed"),1-SUMIFS(detailed_overview!$J$2:$J$50000,detailed_overview!$A$2:$A$50000,$A2,detailed_overview!$F$2:$F$50000,_xlpm.s,detailed_overview!$G$2:$G$50000,TRUE,detailed_overview!$M$2:$M$50000,"not assessed")))),_xlfn.TEXTJOIN(", ",TRUE,_xlfn._xlws.FILTER(_xlpm.sc,_xlpm.pct=MIN(_xlpm.pct)))))</f>
        <v/>
      </c>
      <c r="E2">
        <f t="array" ref="E2">IFERROR(INDEX(_xlfn.UNIQUE(_xlfn._xlws.FILTER(_xlfn.HSTACK(detailed_overview!$A$2:$A$50000,detailed_overview!$D$2:$D$50000),detailed_overview!$A$2:$A$50000&lt;&gt;"")),ROW()-1,1),"")</f>
        <v/>
      </c>
      <c r="F2">
        <f t="array" ref="F2">IFERROR(INDEX(_xlfn.UNIQUE(_xlfn._xlws.FILTER(_xlfn.HSTACK(detailed_overview!$A$2:$A$50000,detailed_overview!$D$2:$D$50000),detailed_overview!$A$2:$A$50000&lt;&gt;"")),ROW()-1,2),"")</f>
        <v/>
      </c>
      <c r="G2">
        <f t="array" ref="G2">IF($E2="","",_xlfn.LET(_xlpm.t,UPPER(_xlfn._xlws.FILTER(detailed_overview!N$2:N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H2">
        <f t="array" ref="H2">IF($E2="","",_xlfn.LET(_xlpm.sc,_xlfn._xlws.FILTER(detailed_overview!$F$2:$F$50000,(detailed_overview!$A$2:$A$50000=$E2)*(detailed_overview!$D$2:$D$50000=$F2)*(detailed_overview!$G$2:$G$50000=TRUE),""),_xlpm.t,UPPER(_xlfn._xlws.FILTER(detailed_overview!N$2:N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I2" s="4">
        <f t="array" ref="I2">IF($E2="","",_xlfn.LET(_xlpm.t,UPPER(_xlfn._xlws.FILTER(detailed_overview!O$2:O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J2">
        <f t="array" ref="J2">IF($E2="","",_xlfn.LET(_xlpm.sc,_xlfn._xlws.FILTER(detailed_overview!$F$2:$F$50000,(detailed_overview!$A$2:$A$50000=$E2)*(detailed_overview!$D$2:$D$50000=$F2)*(detailed_overview!$G$2:$G$50000=TRUE),""),_xlpm.t,UPPER(_xlfn._xlws.FILTER(detailed_overview!O$2:O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K2">
        <f t="array" ref="K2">IF($E2="","",_xlfn.LET(_xlpm.t,UPPER(_xlfn._xlws.FILTER(detailed_overview!P$2:P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L2">
        <f t="array" ref="L2">IF($E2="","",_xlfn.LET(_xlpm.sc,_xlfn._xlws.FILTER(detailed_overview!$F$2:$F$50000,(detailed_overview!$A$2:$A$50000=$E2)*(detailed_overview!$D$2:$D$50000=$F2)*(detailed_overview!$G$2:$G$50000=TRUE),""),_xlpm.t,UPPER(_xlfn._xlws.FILTER(detailed_overview!P$2:P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M2">
        <f t="array" ref="M2">IF($E2="","",_xlfn.LET(_xlpm.t,UPPER(_xlfn._xlws.FILTER(detailed_overview!Q$2:Q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N2">
        <f t="array" ref="N2">IF($E2="","",_xlfn.LET(_xlpm.sc,_xlfn._xlws.FILTER(detailed_overview!$F$2:$F$50000,(detailed_overview!$A$2:$A$50000=$E2)*(detailed_overview!$D$2:$D$50000=$F2)*(detailed_overview!$G$2:$G$50000=TRUE),""),_xlpm.t,UPPER(_xlfn._xlws.FILTER(detailed_overview!Q$2:Q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O2">
        <f t="array" ref="O2">IF($E2="","",_xlfn.LET(_xlpm.t,UPPER(_xlfn._xlws.FILTER(detailed_overview!R$2:R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P2">
        <f t="array" ref="P2">IF($E2="","",_xlfn.LET(_xlpm.sc,_xlfn._xlws.FILTER(detailed_overview!$F$2:$F$50000,(detailed_overview!$A$2:$A$50000=$E2)*(detailed_overview!$D$2:$D$50000=$F2)*(detailed_overview!$G$2:$G$50000=TRUE),""),_xlpm.t,UPPER(_xlfn._xlws.FILTER(detailed_overview!R$2:R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Q2">
        <f t="array" ref="Q2">IF($E2="","",_xlfn.LET(_xlpm.t,UPPER(_xlfn._xlws.FILTER(detailed_overview!S$2:S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R2">
        <f t="array" ref="R2">IF($E2="","",_xlfn.LET(_xlpm.sc,_xlfn._xlws.FILTER(detailed_overview!$F$2:$F$50000,(detailed_overview!$A$2:$A$50000=$E2)*(detailed_overview!$D$2:$D$50000=$F2)*(detailed_overview!$G$2:$G$50000=TRUE),""),_xlpm.t,UPPER(_xlfn._xlws.FILTER(detailed_overview!S$2:S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S2">
        <f t="array" ref="S2">IF($E2="","","WITHOUT MIXTURE RULES: "&amp;_xlfn.LET(_xlpm.t,UPPER(_xlfn._xlws.FILTER(detailed_overview!T$2:T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T2">
        <f t="array" ref="T2">IF($E2="","",_xlfn.LET(_xlpm.sc,_xlfn._xlws.FILTER(detailed_overview!$F$2:$F$50000,(detailed_overview!$A$2:$A$50000=$E2)*(detailed_overview!$D$2:$D$50000=$F2)*(detailed_overview!$G$2:$G$50000=TRUE),""),_xlpm.t,UPPER(_xlfn._xlws.FILTER(detailed_overview!T$2:T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U2">
        <f t="array" ref="U2">IF($E2="","","WITHOUT MIXTURE RULES: "&amp;_xlfn.LET(_xlpm.t,UPPER(_xlfn._xlws.FILTER(detailed_overview!U$2:U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V2">
        <f t="array" ref="V2">IF($E2="","",_xlfn.LET(_xlpm.sc,_xlfn._xlws.FILTER(detailed_overview!$F$2:$F$50000,(detailed_overview!$A$2:$A$50000=$E2)*(detailed_overview!$D$2:$D$50000=$F2)*(detailed_overview!$G$2:$G$50000=TRUE),""),_xlpm.t,UPPER(_xlfn._xlws.FILTER(detailed_overview!U$2:U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W2">
        <f t="array" ref="W2">IF($E2="","","WITHOUT MIXTURE RULES: "&amp;_xlfn.LET(_xlpm.t,UPPER(_xlfn._xlws.FILTER(detailed_overview!V$2:V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X2">
        <f t="array" ref="X2">IF($E2="","",_xlfn.LET(_xlpm.sc,_xlfn._xlws.FILTER(detailed_overview!$F$2:$F$50000,(detailed_overview!$A$2:$A$50000=$E2)*(detailed_overview!$D$2:$D$50000=$F2)*(detailed_overview!$G$2:$G$50000=TRUE),""),_xlpm.t,UPPER(_xlfn._xlws.FILTER(detailed_overview!V$2:V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Y2">
        <f t="array" ref="Y2">IF($E2="","","WITHOUT MIXTURE RULES: "&amp;_xlfn.LET(_xlpm.t,UPPER(_xlfn._xlws.FILTER(detailed_overview!W$2:W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Z2">
        <f t="array" ref="Z2">IF($E2="","",_xlfn.LET(_xlpm.sc,_xlfn._xlws.FILTER(detailed_overview!$F$2:$F$50000,(detailed_overview!$A$2:$A$50000=$E2)*(detailed_overview!$D$2:$D$50000=$F2)*(detailed_overview!$G$2:$G$50000=TRUE),""),_xlpm.t,UPPER(_xlfn._xlws.FILTER(detailed_overview!W$2:W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A2">
        <f t="array" ref="AA2">IF($E2="","","WITHOUT MIXTURE RULES: "&amp;_xlfn.LET(_xlpm.t,UPPER(_xlfn._xlws.FILTER(detailed_overview!X$2:X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B2">
        <f t="array" ref="AB2">IF($E2="","",_xlfn.LET(_xlpm.sc,_xlfn._xlws.FILTER(detailed_overview!$F$2:$F$50000,(detailed_overview!$A$2:$A$50000=$E2)*(detailed_overview!$D$2:$D$50000=$F2)*(detailed_overview!$G$2:$G$50000=TRUE),""),_xlpm.t,UPPER(_xlfn._xlws.FILTER(detailed_overview!X$2:X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C2">
        <f t="array" ref="AC2">IF($E2="","","WITHOUT MIXTURE RULES: "&amp;_xlfn.LET(_xlpm.t,UPPER(_xlfn._xlws.FILTER(detailed_overview!Y$2:Y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D2">
        <f t="array" ref="AD2">IF($E2="","",_xlfn.LET(_xlpm.sc,_xlfn._xlws.FILTER(detailed_overview!$F$2:$F$50000,(detailed_overview!$A$2:$A$50000=$E2)*(detailed_overview!$D$2:$D$50000=$F2)*(detailed_overview!$G$2:$G$50000=TRUE),""),_xlpm.t,UPPER(_xlfn._xlws.FILTER(detailed_overview!Y$2:Y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E2">
        <f t="array" ref="AE2">IF($E2="","","WITHOUT MIXTURE RULES: "&amp;_xlfn.LET(_xlpm.t,UPPER(_xlfn._xlws.FILTER(detailed_overview!Z$2:Z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F2">
        <f t="array" ref="AF2">IF($E2="","",_xlfn.LET(_xlpm.sc,_xlfn._xlws.FILTER(detailed_overview!$F$2:$F$50000,(detailed_overview!$A$2:$A$50000=$E2)*(detailed_overview!$D$2:$D$50000=$F2)*(detailed_overview!$G$2:$G$50000=TRUE),""),_xlpm.t,UPPER(_xlfn._xlws.FILTER(detailed_overview!Z$2:Z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G2">
        <f t="array" ref="AG2">IF($E2="","","WITHOUT MIXTURE RULES: "&amp;_xlfn.LET(_xlpm.t,UPPER(_xlfn._xlws.FILTER(detailed_overview!AA$2:AA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H2">
        <f t="array" ref="AH2">IF($E2="","",_xlfn.LET(_xlpm.sc,_xlfn._xlws.FILTER(detailed_overview!$F$2:$F$50000,(detailed_overview!$A$2:$A$50000=$E2)*(detailed_overview!$D$2:$D$50000=$F2)*(detailed_overview!$G$2:$G$50000=TRUE),""),_xlpm.t,UPPER(_xlfn._xlws.FILTER(detailed_overview!AA$2:AA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I2">
        <f t="array" ref="AI2">IF($E2="","",_xlfn.LET(_xlpm.t,UPPER(_xlfn._xlws.FILTER(detailed_overview!AB$2:AB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J2">
        <f t="array" ref="AJ2">IF($E2="","",_xlfn.LET(_xlpm.sc,_xlfn._xlws.FILTER(detailed_overview!$F$2:$F$50000,(detailed_overview!$A$2:$A$50000=$E2)*(detailed_overview!$D$2:$D$50000=$F2)*(detailed_overview!$G$2:$G$50000=TRUE),""),_xlpm.t,UPPER(_xlfn._xlws.FILTER(detailed_overview!AB$2:AB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K2">
        <f t="array" ref="AK2">IF($E2="","",_xlfn.LET(_xlpm.t,UPPER(_xlfn._xlws.FILTER(detailed_overview!AC$2:AC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L2">
        <f t="array" ref="AL2">IF($E2="","",_xlfn.LET(_xlpm.sc,_xlfn._xlws.FILTER(detailed_overview!$F$2:$F$50000,(detailed_overview!$A$2:$A$50000=$E2)*(detailed_overview!$D$2:$D$50000=$F2)*(detailed_overview!$G$2:$G$50000=TRUE),""),_xlpm.t,UPPER(_xlfn._xlws.FILTER(detailed_overview!AC$2:AC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M2">
        <f t="array" ref="AM2">IF($E2="","",_xlfn.LET(_xlpm.t,UPPER(_xlfn._xlws.FILTER(detailed_overview!AD$2:AD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N2">
        <f t="array" ref="AN2">IF($E2="","",_xlfn.LET(_xlpm.sc,_xlfn._xlws.FILTER(detailed_overview!$F$2:$F$50000,(detailed_overview!$A$2:$A$50000=$E2)*(detailed_overview!$D$2:$D$50000=$F2)*(detailed_overview!$G$2:$G$50000=TRUE),""),_xlpm.t,UPPER(_xlfn._xlws.FILTER(detailed_overview!AD$2:AD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O2">
        <f t="array" ref="AO2">IF($E2="","",_xlfn.LET(_xlpm.t,UPPER(_xlfn._xlws.FILTER(detailed_overview!AE$2:AE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P2">
        <f t="array" ref="AP2">IF($E2="","",_xlfn.LET(_xlpm.sc,_xlfn._xlws.FILTER(detailed_overview!$F$2:$F$50000,(detailed_overview!$A$2:$A$50000=$E2)*(detailed_overview!$D$2:$D$50000=$F2)*(detailed_overview!$G$2:$G$50000=TRUE),""),_xlpm.t,UPPER(_xlfn._xlws.FILTER(detailed_overview!AE$2:AE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Q2">
        <f t="array" ref="AQ2">IF($E2="","",_xlfn.LET(_xlpm.t,UPPER(_xlfn._xlws.FILTER(detailed_overview!AF$2:AF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R2">
        <f t="array" ref="AR2">IF($E2="","",_xlfn.LET(_xlpm.sc,_xlfn._xlws.FILTER(detailed_overview!$F$2:$F$50000,(detailed_overview!$A$2:$A$50000=$E2)*(detailed_overview!$D$2:$D$50000=$F2)*(detailed_overview!$G$2:$G$50000=TRUE),""),_xlpm.t,UPPER(_xlfn._xlws.FILTER(detailed_overview!AF$2:AF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S2">
        <f t="array" ref="AS2">IF($E2="","",_xlfn.LET(_xlpm.t,UPPER(_xlfn._xlws.FILTER(detailed_overview!AG$2:AG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T2">
        <f t="array" ref="AT2">IF($E2="","",_xlfn.LET(_xlpm.sc,_xlfn._xlws.FILTER(detailed_overview!$F$2:$F$50000,(detailed_overview!$A$2:$A$50000=$E2)*(detailed_overview!$D$2:$D$50000=$F2)*(detailed_overview!$G$2:$G$50000=TRUE),""),_xlpm.t,UPPER(_xlfn._xlws.FILTER(detailed_overview!AG$2:AG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  <c r="AU2">
        <f t="array" ref="AU2">IF($E2="","",_xlfn.LET(_xlpm.t,UPPER(_xlfn._xlws.FILTER(detailed_overview!AH$2:AH$50000,(detailed_overview!$A$2:$A$50000=$E2)*(detailed_overview!$D$2:$D$50000=$F2)*(detailed_overview!$G$2:$G$50000=TRUE),"")&amp;""),_xlpm.r,IF(ISNUMBER(SEARCH("RED",_xlpm.t)),4,IF(ISNUMBER(SEARCH("YELLOW",_xlpm.t)),2,IF(ISNUMBER(SEARCH("GREEN",_xlpm.t)),1,3))),CHOOSE(MAX(_xlpm.r),"GREEN","YELLOW","GREY","RED")))</f>
        <v/>
      </c>
      <c r="AV2">
        <f t="array" ref="AV2">IF($E2="","",_xlfn.LET(_xlpm.sc,_xlfn._xlws.FILTER(detailed_overview!$F$2:$F$50000,(detailed_overview!$A$2:$A$50000=$E2)*(detailed_overview!$D$2:$D$50000=$F2)*(detailed_overview!$G$2:$G$50000=TRUE),""),_xlpm.t,UPPER(_xlfn._xlws.FILTER(detailed_overview!AH$2:AH$50000,(detailed_overview!$A$2:$A$50000=$E2)*(detailed_overview!$D$2:$D$50000=$F2)*(detailed_overview!$G$2:$G$50000=TRUE),"")&amp;""),_xlpm.r,IF(ISNUMBER(SEARCH("RED",_xlpm.t)),4,IF(ISNUMBER(SEARCH("YELLOW",_xlpm.t)),2,IF(ISNUMBER(SEARCH("GREEN",_xlpm.t)),1,3))),_xlfn.TEXTJOIN(", ",TRUE,_xlfn.UNIQUE(_xlfn._xlws.FILTER(_xlpm.sc,_xlpm.r=MAX(_xlpm.r),"")))))</f>
        <v/>
      </c>
    </row>
  </sheetData>
  <conditionalFormatting sqref="G2:G50000">
    <cfRule type="expression" priority="85" dxfId="0" stopIfTrue="0">
      <formula>ISNUMBER(SEARCH("red",G2))</formula>
    </cfRule>
    <cfRule type="expression" priority="86" dxfId="1" stopIfTrue="0">
      <formula>ISNUMBER(SEARCH("yellow",G2))</formula>
    </cfRule>
    <cfRule type="expression" priority="87" dxfId="2" stopIfTrue="0">
      <formula>ISNUMBER(SEARCH("grey",G2))</formula>
    </cfRule>
    <cfRule type="expression" priority="88" dxfId="3" stopIfTrue="0">
      <formula>ISNUMBER(SEARCH("green",G2))</formula>
    </cfRule>
  </conditionalFormatting>
  <conditionalFormatting sqref="I2:I50000">
    <cfRule type="expression" priority="89" dxfId="0" stopIfTrue="0">
      <formula>ISNUMBER(SEARCH("red",I2))</formula>
    </cfRule>
    <cfRule type="expression" priority="90" dxfId="1" stopIfTrue="0">
      <formula>ISNUMBER(SEARCH("yellow",I2))</formula>
    </cfRule>
    <cfRule type="expression" priority="91" dxfId="2" stopIfTrue="0">
      <formula>ISNUMBER(SEARCH("grey",I2))</formula>
    </cfRule>
    <cfRule type="expression" priority="92" dxfId="3" stopIfTrue="0">
      <formula>ISNUMBER(SEARCH("green",I2))</formula>
    </cfRule>
  </conditionalFormatting>
  <conditionalFormatting sqref="K2:K50000">
    <cfRule type="expression" priority="93" dxfId="0" stopIfTrue="0">
      <formula>ISNUMBER(SEARCH("red",K2))</formula>
    </cfRule>
    <cfRule type="expression" priority="94" dxfId="1" stopIfTrue="0">
      <formula>ISNUMBER(SEARCH("yellow",K2))</formula>
    </cfRule>
    <cfRule type="expression" priority="95" dxfId="2" stopIfTrue="0">
      <formula>ISNUMBER(SEARCH("grey",K2))</formula>
    </cfRule>
    <cfRule type="expression" priority="96" dxfId="3" stopIfTrue="0">
      <formula>ISNUMBER(SEARCH("green",K2))</formula>
    </cfRule>
  </conditionalFormatting>
  <conditionalFormatting sqref="M2:M50000">
    <cfRule type="expression" priority="97" dxfId="0" stopIfTrue="0">
      <formula>ISNUMBER(SEARCH("red",M2))</formula>
    </cfRule>
    <cfRule type="expression" priority="98" dxfId="1" stopIfTrue="0">
      <formula>ISNUMBER(SEARCH("yellow",M2))</formula>
    </cfRule>
    <cfRule type="expression" priority="99" dxfId="2" stopIfTrue="0">
      <formula>ISNUMBER(SEARCH("grey",M2))</formula>
    </cfRule>
    <cfRule type="expression" priority="100" dxfId="3" stopIfTrue="0">
      <formula>ISNUMBER(SEARCH("green",M2))</formula>
    </cfRule>
  </conditionalFormatting>
  <conditionalFormatting sqref="O2:O50000">
    <cfRule type="expression" priority="101" dxfId="0" stopIfTrue="0">
      <formula>ISNUMBER(SEARCH("red",O2))</formula>
    </cfRule>
    <cfRule type="expression" priority="102" dxfId="1" stopIfTrue="0">
      <formula>ISNUMBER(SEARCH("yellow",O2))</formula>
    </cfRule>
    <cfRule type="expression" priority="103" dxfId="2" stopIfTrue="0">
      <formula>ISNUMBER(SEARCH("grey",O2))</formula>
    </cfRule>
    <cfRule type="expression" priority="104" dxfId="3" stopIfTrue="0">
      <formula>ISNUMBER(SEARCH("green",O2))</formula>
    </cfRule>
  </conditionalFormatting>
  <conditionalFormatting sqref="Q2:Q50000">
    <cfRule type="expression" priority="105" dxfId="0" stopIfTrue="0">
      <formula>ISNUMBER(SEARCH("red",Q2))</formula>
    </cfRule>
    <cfRule type="expression" priority="106" dxfId="1" stopIfTrue="0">
      <formula>ISNUMBER(SEARCH("yellow",Q2))</formula>
    </cfRule>
    <cfRule type="expression" priority="107" dxfId="2" stopIfTrue="0">
      <formula>ISNUMBER(SEARCH("grey",Q2))</formula>
    </cfRule>
    <cfRule type="expression" priority="108" dxfId="3" stopIfTrue="0">
      <formula>ISNUMBER(SEARCH("green",Q2))</formula>
    </cfRule>
  </conditionalFormatting>
  <conditionalFormatting sqref="S2:S50000">
    <cfRule type="expression" priority="109" dxfId="0" stopIfTrue="0">
      <formula>ISNUMBER(SEARCH("red",S2))</formula>
    </cfRule>
    <cfRule type="expression" priority="110" dxfId="1" stopIfTrue="0">
      <formula>ISNUMBER(SEARCH("yellow",S2))</formula>
    </cfRule>
    <cfRule type="expression" priority="111" dxfId="2" stopIfTrue="0">
      <formula>ISNUMBER(SEARCH("grey",S2))</formula>
    </cfRule>
    <cfRule type="expression" priority="112" dxfId="3" stopIfTrue="0">
      <formula>ISNUMBER(SEARCH("green",S2))</formula>
    </cfRule>
  </conditionalFormatting>
  <conditionalFormatting sqref="U2:U50000">
    <cfRule type="expression" priority="113" dxfId="0" stopIfTrue="0">
      <formula>ISNUMBER(SEARCH("red",U2))</formula>
    </cfRule>
    <cfRule type="expression" priority="114" dxfId="1" stopIfTrue="0">
      <formula>ISNUMBER(SEARCH("yellow",U2))</formula>
    </cfRule>
    <cfRule type="expression" priority="115" dxfId="2" stopIfTrue="0">
      <formula>ISNUMBER(SEARCH("grey",U2))</formula>
    </cfRule>
    <cfRule type="expression" priority="116" dxfId="3" stopIfTrue="0">
      <formula>ISNUMBER(SEARCH("green",U2))</formula>
    </cfRule>
  </conditionalFormatting>
  <conditionalFormatting sqref="W2:W50000">
    <cfRule type="expression" priority="117" dxfId="0" stopIfTrue="0">
      <formula>ISNUMBER(SEARCH("red",W2))</formula>
    </cfRule>
    <cfRule type="expression" priority="118" dxfId="1" stopIfTrue="0">
      <formula>ISNUMBER(SEARCH("yellow",W2))</formula>
    </cfRule>
    <cfRule type="expression" priority="119" dxfId="2" stopIfTrue="0">
      <formula>ISNUMBER(SEARCH("grey",W2))</formula>
    </cfRule>
    <cfRule type="expression" priority="120" dxfId="3" stopIfTrue="0">
      <formula>ISNUMBER(SEARCH("green",W2))</formula>
    </cfRule>
  </conditionalFormatting>
  <conditionalFormatting sqref="Y2:Y50000">
    <cfRule type="expression" priority="121" dxfId="0" stopIfTrue="0">
      <formula>ISNUMBER(SEARCH("red",Y2))</formula>
    </cfRule>
    <cfRule type="expression" priority="122" dxfId="1" stopIfTrue="0">
      <formula>ISNUMBER(SEARCH("yellow",Y2))</formula>
    </cfRule>
    <cfRule type="expression" priority="123" dxfId="2" stopIfTrue="0">
      <formula>ISNUMBER(SEARCH("grey",Y2))</formula>
    </cfRule>
    <cfRule type="expression" priority="124" dxfId="3" stopIfTrue="0">
      <formula>ISNUMBER(SEARCH("green",Y2))</formula>
    </cfRule>
  </conditionalFormatting>
  <conditionalFormatting sqref="AA2:AA50000">
    <cfRule type="expression" priority="125" dxfId="0" stopIfTrue="0">
      <formula>ISNUMBER(SEARCH("red",AA2))</formula>
    </cfRule>
    <cfRule type="expression" priority="126" dxfId="1" stopIfTrue="0">
      <formula>ISNUMBER(SEARCH("yellow",AA2))</formula>
    </cfRule>
    <cfRule type="expression" priority="127" dxfId="2" stopIfTrue="0">
      <formula>ISNUMBER(SEARCH("grey",AA2))</formula>
    </cfRule>
    <cfRule type="expression" priority="128" dxfId="3" stopIfTrue="0">
      <formula>ISNUMBER(SEARCH("green",AA2))</formula>
    </cfRule>
  </conditionalFormatting>
  <conditionalFormatting sqref="AC2:AC50000">
    <cfRule type="expression" priority="129" dxfId="0" stopIfTrue="0">
      <formula>ISNUMBER(SEARCH("red",AC2))</formula>
    </cfRule>
    <cfRule type="expression" priority="130" dxfId="1" stopIfTrue="0">
      <formula>ISNUMBER(SEARCH("yellow",AC2))</formula>
    </cfRule>
    <cfRule type="expression" priority="131" dxfId="2" stopIfTrue="0">
      <formula>ISNUMBER(SEARCH("grey",AC2))</formula>
    </cfRule>
    <cfRule type="expression" priority="132" dxfId="3" stopIfTrue="0">
      <formula>ISNUMBER(SEARCH("green",AC2))</formula>
    </cfRule>
  </conditionalFormatting>
  <conditionalFormatting sqref="AE2:AE50000">
    <cfRule type="expression" priority="133" dxfId="0" stopIfTrue="0">
      <formula>ISNUMBER(SEARCH("red",AE2))</formula>
    </cfRule>
    <cfRule type="expression" priority="134" dxfId="1" stopIfTrue="0">
      <formula>ISNUMBER(SEARCH("yellow",AE2))</formula>
    </cfRule>
    <cfRule type="expression" priority="135" dxfId="2" stopIfTrue="0">
      <formula>ISNUMBER(SEARCH("grey",AE2))</formula>
    </cfRule>
    <cfRule type="expression" priority="136" dxfId="3" stopIfTrue="0">
      <formula>ISNUMBER(SEARCH("green",AE2))</formula>
    </cfRule>
  </conditionalFormatting>
  <conditionalFormatting sqref="AG2:AG50000">
    <cfRule type="expression" priority="137" dxfId="0" stopIfTrue="0">
      <formula>ISNUMBER(SEARCH("red",AG2))</formula>
    </cfRule>
    <cfRule type="expression" priority="138" dxfId="1" stopIfTrue="0">
      <formula>ISNUMBER(SEARCH("yellow",AG2))</formula>
    </cfRule>
    <cfRule type="expression" priority="139" dxfId="2" stopIfTrue="0">
      <formula>ISNUMBER(SEARCH("grey",AG2))</formula>
    </cfRule>
    <cfRule type="expression" priority="140" dxfId="3" stopIfTrue="0">
      <formula>ISNUMBER(SEARCH("green",AG2))</formula>
    </cfRule>
  </conditionalFormatting>
  <conditionalFormatting sqref="AI2:AI50000">
    <cfRule type="expression" priority="141" dxfId="0" stopIfTrue="0">
      <formula>ISNUMBER(SEARCH("red",AI2))</formula>
    </cfRule>
    <cfRule type="expression" priority="142" dxfId="1" stopIfTrue="0">
      <formula>ISNUMBER(SEARCH("yellow",AI2))</formula>
    </cfRule>
    <cfRule type="expression" priority="143" dxfId="2" stopIfTrue="0">
      <formula>ISNUMBER(SEARCH("grey",AI2))</formula>
    </cfRule>
    <cfRule type="expression" priority="144" dxfId="3" stopIfTrue="0">
      <formula>ISNUMBER(SEARCH("green",AI2))</formula>
    </cfRule>
  </conditionalFormatting>
  <conditionalFormatting sqref="AK2:AK50000">
    <cfRule type="expression" priority="145" dxfId="0" stopIfTrue="0">
      <formula>ISNUMBER(SEARCH("red",AK2))</formula>
    </cfRule>
    <cfRule type="expression" priority="146" dxfId="1" stopIfTrue="0">
      <formula>ISNUMBER(SEARCH("yellow",AK2))</formula>
    </cfRule>
    <cfRule type="expression" priority="147" dxfId="2" stopIfTrue="0">
      <formula>ISNUMBER(SEARCH("grey",AK2))</formula>
    </cfRule>
    <cfRule type="expression" priority="148" dxfId="3" stopIfTrue="0">
      <formula>ISNUMBER(SEARCH("green",AK2))</formula>
    </cfRule>
  </conditionalFormatting>
  <conditionalFormatting sqref="AM2:AM50000">
    <cfRule type="expression" priority="149" dxfId="0" stopIfTrue="0">
      <formula>ISNUMBER(SEARCH("red",AM2))</formula>
    </cfRule>
    <cfRule type="expression" priority="150" dxfId="1" stopIfTrue="0">
      <formula>ISNUMBER(SEARCH("yellow",AM2))</formula>
    </cfRule>
    <cfRule type="expression" priority="151" dxfId="2" stopIfTrue="0">
      <formula>ISNUMBER(SEARCH("grey",AM2))</formula>
    </cfRule>
    <cfRule type="expression" priority="152" dxfId="3" stopIfTrue="0">
      <formula>ISNUMBER(SEARCH("green",AM2))</formula>
    </cfRule>
  </conditionalFormatting>
  <conditionalFormatting sqref="AO2:AO50000">
    <cfRule type="expression" priority="153" dxfId="0" stopIfTrue="0">
      <formula>ISNUMBER(SEARCH("red",AO2))</formula>
    </cfRule>
    <cfRule type="expression" priority="154" dxfId="1" stopIfTrue="0">
      <formula>ISNUMBER(SEARCH("yellow",AO2))</formula>
    </cfRule>
    <cfRule type="expression" priority="155" dxfId="2" stopIfTrue="0">
      <formula>ISNUMBER(SEARCH("grey",AO2))</formula>
    </cfRule>
    <cfRule type="expression" priority="156" dxfId="3" stopIfTrue="0">
      <formula>ISNUMBER(SEARCH("green",AO2))</formula>
    </cfRule>
  </conditionalFormatting>
  <conditionalFormatting sqref="AQ2:AQ50000">
    <cfRule type="expression" priority="157" dxfId="0" stopIfTrue="0">
      <formula>ISNUMBER(SEARCH("red",AQ2))</formula>
    </cfRule>
    <cfRule type="expression" priority="158" dxfId="1" stopIfTrue="0">
      <formula>ISNUMBER(SEARCH("yellow",AQ2))</formula>
    </cfRule>
    <cfRule type="expression" priority="159" dxfId="2" stopIfTrue="0">
      <formula>ISNUMBER(SEARCH("grey",AQ2))</formula>
    </cfRule>
    <cfRule type="expression" priority="160" dxfId="3" stopIfTrue="0">
      <formula>ISNUMBER(SEARCH("green",AQ2))</formula>
    </cfRule>
  </conditionalFormatting>
  <conditionalFormatting sqref="AS2:AS50000">
    <cfRule type="expression" priority="161" dxfId="0" stopIfTrue="0">
      <formula>ISNUMBER(SEARCH("red",AS2))</formula>
    </cfRule>
    <cfRule type="expression" priority="162" dxfId="1" stopIfTrue="0">
      <formula>ISNUMBER(SEARCH("yellow",AS2))</formula>
    </cfRule>
    <cfRule type="expression" priority="163" dxfId="2" stopIfTrue="0">
      <formula>ISNUMBER(SEARCH("grey",AS2))</formula>
    </cfRule>
    <cfRule type="expression" priority="164" dxfId="3" stopIfTrue="0">
      <formula>ISNUMBER(SEARCH("green",AS2))</formula>
    </cfRule>
  </conditionalFormatting>
  <conditionalFormatting sqref="AU2:AU50000">
    <cfRule type="expression" priority="165" dxfId="0" stopIfTrue="0">
      <formula>ISNUMBER(SEARCH("red",AU2))</formula>
    </cfRule>
    <cfRule type="expression" priority="166" dxfId="1" stopIfTrue="0">
      <formula>ISNUMBER(SEARCH("yellow",AU2))</formula>
    </cfRule>
    <cfRule type="expression" priority="167" dxfId="2" stopIfTrue="0">
      <formula>ISNUMBER(SEARCH("grey",AU2))</formula>
    </cfRule>
    <cfRule type="expression" priority="168" dxfId="3" stopIfTrue="0">
      <formula>ISNUMBER(SEARCH("green",AU2))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C3" sqref="C3"/>
    </sheetView>
  </sheetViews>
  <sheetFormatPr baseColWidth="10" defaultRowHeight="15"/>
  <cols>
    <col width="20.83203125" customWidth="1" min="2" max="2"/>
    <col width="8.6640625" bestFit="1" customWidth="1" min="5" max="5"/>
    <col width="19.33203125" bestFit="1" customWidth="1" min="6" max="6"/>
    <col width="17.83203125" bestFit="1" customWidth="1" min="7" max="7"/>
    <col width="9.33203125" bestFit="1" customWidth="1" min="8" max="8"/>
  </cols>
  <sheetData>
    <row r="1">
      <c r="A1" s="3" t="inlineStr">
        <is>
          <t>Product</t>
        </is>
      </c>
      <c r="B1" s="3" t="inlineStr">
        <is>
          <t>Scenario ID</t>
        </is>
      </c>
      <c r="C1" s="3" t="inlineStr">
        <is>
          <t>% assessed</t>
        </is>
      </c>
      <c r="E1" s="3" t="inlineStr">
        <is>
          <t>Product</t>
        </is>
      </c>
      <c r="F1" s="3" t="inlineStr">
        <is>
          <t>Homogenous Material</t>
        </is>
      </c>
      <c r="G1" s="3" t="inlineStr">
        <is>
          <t>Scenario ID</t>
        </is>
      </c>
      <c r="H1" s="3" t="inlineStr">
        <is>
          <t>% assessed</t>
        </is>
      </c>
    </row>
    <row r="2">
      <c r="A2">
        <f t="array" ref="A2">IFERROR(INDEX(_xlfn.UNIQUE(_xlfn._xlws.FILTER(_xlfn.HSTACK(detailed_overview!$A$2:$A$50000,detailed_overview!$F$2:$F$50000),detailed_overview!$A$2:$A$50000&lt;&gt;"")),ROW()-1,1),"")</f>
        <v/>
      </c>
      <c r="B2">
        <f t="array" ref="B2">IFERROR(INDEX(_xlfn.UNIQUE(_xlfn._xlws.FILTER(_xlfn.HSTACK(detailed_overview!$A$2:$A$50000,detailed_overview!$F$2:$F$50000),detailed_overview!$A$2:$A$50000&lt;&gt;"")),ROW()-1,2),"")</f>
        <v/>
      </c>
      <c r="C2" s="4">
        <f t="array" ref="C2">IF($A2="","",MIN(1-SUMIFS(detailed_overview!$I$2:$I$100000,detailed_overview!$A$2:$A$100000,$A2,detailed_overview!$F$2:$F$100000,$B2,detailed_overview!$G$2:$G$100000,TRUE,detailed_overview!$M$2:$M$100000,"not assessed"),1-SUMIFS(detailed_overview!$J$2:$J$100000,detailed_overview!$A$2:$A$100000,$A2,detailed_overview!$F$2:$F$100000,$B2,detailed_overview!$G$2:$G$100000,TRUE,detailed_overview!$M$2:$M$100000,"not assessed")))</f>
        <v/>
      </c>
      <c r="E2">
        <f t="array" ref="E2">IFERROR(INDEX(_xlfn.UNIQUE(_xlfn._xlws.FILTER(_xlfn.HSTACK(detailed_overview!$A$2:$A$50000,detailed_overview!$D$2:$D$50000,detailed_overview!$F$2:$F$50000),detailed_overview!$A$2:$A$50000&lt;&gt;"")),ROW()-1,1),"")</f>
        <v/>
      </c>
      <c r="F2">
        <f t="array" ref="F2">IFERROR(INDEX(_xlfn.UNIQUE(_xlfn._xlws.FILTER(_xlfn.HSTACK(detailed_overview!$A$2:$A$50000,detailed_overview!$D$2:$D$50000,detailed_overview!$F$2:$F$50000),detailed_overview!$A$2:$A$50000&lt;&gt;"")),ROW()-1,2),"")</f>
        <v/>
      </c>
      <c r="G2">
        <f t="array" ref="G2">IFERROR(INDEX(_xlfn.UNIQUE(_xlfn._xlws.FILTER(_xlfn.HSTACK(detailed_overview!$A$2:$A$50000,detailed_overview!$D$2:$D$50000,detailed_overview!$F$2:$F$50000),detailed_overview!$A$2:$A$50000&lt;&gt;"")),ROW()-1,3),"")</f>
        <v/>
      </c>
      <c r="H2" s="4">
        <f t="array" ref="H2">IF($E2="","",MIN(1-SUMIFS(detailed_overview!$K$2:$K$100000,detailed_overview!$A$2:$A$100000,$E2,detailed_overview!$D$2:$D$100000,$F2,detailed_overview!$F$2:$F$100000,$G2,detailed_overview!$G$2:$G$100000,TRUE,detailed_overview!$M$2:$M$100000,"not assessed"),1-SUMIFS(detailed_overview!$L$2:$L$100000,detailed_overview!$A$2:$A$100000,$E2,detailed_overview!$D$2:$D$100000,$F2,detailed_overview!$F$2:$F$100000,$G2,detailed_overview!$G$2:$G$100000,TRUE,detailed_overview!$M$2:$M$100000,"not assessed")))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D1" sqref="D1"/>
    </sheetView>
  </sheetViews>
  <sheetFormatPr baseColWidth="10" defaultRowHeight="15"/>
  <cols>
    <col width="8.6640625" bestFit="1" customWidth="1" min="1" max="1"/>
    <col width="5.83203125" customWidth="1" min="2" max="2"/>
    <col width="7.1640625" customWidth="1" min="3" max="3"/>
    <col width="19.33203125" bestFit="1" customWidth="1" min="4" max="4"/>
    <col width="17.83203125" bestFit="1" customWidth="1" min="5" max="5"/>
    <col width="25.6640625" bestFit="1" customWidth="1" min="12" max="12"/>
    <col width="27.83203125" bestFit="1" customWidth="1" min="13" max="13"/>
    <col width="25.6640625" bestFit="1" customWidth="1" min="14" max="14"/>
    <col width="44.5" bestFit="1" customWidth="1" min="15" max="15"/>
    <col width="25.6640625" bestFit="1" customWidth="1" min="16" max="16"/>
    <col width="28.1640625" bestFit="1" customWidth="1" min="17" max="17"/>
    <col width="30" bestFit="1" customWidth="1" min="18" max="18"/>
    <col width="28.1640625" bestFit="1" customWidth="1" min="19" max="19"/>
  </cols>
  <sheetData>
    <row r="1">
      <c r="A1" s="3" t="inlineStr">
        <is>
          <t>Product</t>
        </is>
      </c>
      <c r="B1" s="3" t="inlineStr">
        <is>
          <t>Min % Homogenous material in Product</t>
        </is>
      </c>
      <c r="C1" s="3" t="inlineStr">
        <is>
          <t>Max % Homogenous material in Product</t>
        </is>
      </c>
      <c r="D1" s="3" t="inlineStr">
        <is>
          <t>Homogenous Material</t>
        </is>
      </c>
      <c r="E1" s="3" t="inlineStr">
        <is>
          <t>Scenario ID</t>
        </is>
      </c>
      <c r="F1" s="3" t="inlineStr">
        <is>
          <t>C2C assessment carcinogenicity</t>
        </is>
      </c>
      <c r="G1" s="3" t="inlineStr">
        <is>
          <t>C2C assessment disruption of endocrine system</t>
        </is>
      </c>
      <c r="H1" s="3" t="inlineStr">
        <is>
          <t>C2C assessment mutagenicity genotoxicity</t>
        </is>
      </c>
      <c r="I1" s="3" t="inlineStr">
        <is>
          <t>C2C assessment reproductive toxicity</t>
        </is>
      </c>
      <c r="J1" s="3" t="inlineStr">
        <is>
          <t>C2C assessment development toxicity</t>
        </is>
      </c>
      <c r="K1" s="3" t="inlineStr">
        <is>
          <t>C2C assessment neurotoxicity</t>
        </is>
      </c>
      <c r="L1" s="3" t="inlineStr">
        <is>
          <t>C2C assessment oral toxicity</t>
        </is>
      </c>
      <c r="M1" s="3" t="inlineStr">
        <is>
          <t>C2C assessment inhalative toxicity</t>
        </is>
      </c>
      <c r="N1" s="3" t="inlineStr">
        <is>
          <t>C2C assessment dermal toxicity</t>
        </is>
      </c>
      <c r="O1" s="3" t="inlineStr">
        <is>
          <t>C2C assessment skin eye respiratory corrosion irritation</t>
        </is>
      </c>
      <c r="P1" s="3" t="inlineStr">
        <is>
          <t>C2C assessment sensitization</t>
        </is>
      </c>
      <c r="Q1" s="3" t="inlineStr">
        <is>
          <t>C2C assessment fish toxicity</t>
        </is>
      </c>
      <c r="R1" s="3" t="inlineStr">
        <is>
          <t>C2C assessment invertebrate toxicity</t>
        </is>
      </c>
      <c r="S1" s="3" t="inlineStr">
        <is>
          <t>C2C assessment algae toxicity</t>
        </is>
      </c>
      <c r="T1" s="3" t="inlineStr">
        <is>
          <t>C2C assessment terrestrial toxicity</t>
        </is>
      </c>
      <c r="U1" s="3" t="inlineStr">
        <is>
          <t>C2C assessment other species toxicity</t>
        </is>
      </c>
      <c r="V1" s="3" t="inlineStr">
        <is>
          <t>C2C assessment persistence</t>
        </is>
      </c>
      <c r="W1" s="3" t="inlineStr">
        <is>
          <t>C2C assessment bioaccumulation</t>
        </is>
      </c>
      <c r="X1" s="3" t="inlineStr">
        <is>
          <t>C2C assessment combined pb risk flag</t>
        </is>
      </c>
      <c r="Y1" s="3" t="inlineStr">
        <is>
          <t>C2C assessment combined aquatic risk flag</t>
        </is>
      </c>
      <c r="Z1" s="3" t="inlineStr">
        <is>
          <t>C2C assessment climatic relevance ozone depletion potential</t>
        </is>
      </c>
    </row>
    <row r="2">
      <c r="A2">
        <f t="array" ref="A2">IFERROR(INDEX(_xlfn.UNIQUE(_xlfn._xlws.FILTER(_xlfn.HSTACK(detailed_overview!$A$2:$A$50000,detailed_overview!$D$2:$D$50000,detailed_overview!$F$2:$F$50000),detailed_overview!$A$2:$A$50000&lt;&gt;"")),ROW()-1,1),"")</f>
        <v/>
      </c>
      <c r="B2">
        <f t="array" ref="B2">IF($A2="","",_xlfn.MINIFS(detailed_overview!$B$2:$B$100000,detailed_overview!$A$2:$A$100000,$A2,detailed_overview!$D$2:$D$100000,$D2,detailed_overview!$F$2:$F$100000,$E2))</f>
        <v/>
      </c>
      <c r="C2">
        <f t="array" ref="C2">IF($A2="","",_xlfn.MAXIFS(detailed_overview!$C$2:$C$100000,detailed_overview!$A$2:$A$100000,$A2,detailed_overview!$D$2:$D$100000,$D2,detailed_overview!$F$2:$F$100000,$E2))</f>
        <v/>
      </c>
      <c r="D2">
        <f t="array" ref="D2">IFERROR(INDEX(_xlfn.UNIQUE(_xlfn._xlws.FILTER(_xlfn.HSTACK(detailed_overview!$A$2:$A$50000,detailed_overview!$D$2:$D$50000,detailed_overview!$F$2:$F$50000),detailed_overview!$A$2:$A$50000&lt;&gt;"")),ROW()-1,2),"")</f>
        <v/>
      </c>
      <c r="E2">
        <f t="array" ref="E2">IFERROR(INDEX(_xlfn.UNIQUE(_xlfn._xlws.FILTER(_xlfn.HSTACK(detailed_overview!$A$2:$A$50000,detailed_overview!$D$2:$D$50000,detailed_overview!$F$2:$F$50000),detailed_overview!$A$2:$A$50000&lt;&gt;"")),ROW()-1,3),"")</f>
        <v/>
      </c>
      <c r="F2">
        <f t="array" ref="F2">IF($A2="","",_xlfn.LET(_xlpm.t,UPPER(_xlfn._xlws.FILTER(detailed_overview!N$2:N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G2">
        <f t="array" ref="G2">IF($A2="","",_xlfn.LET(_xlpm.t,UPPER(_xlfn._xlws.FILTER(detailed_overview!O$2:O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H2">
        <f t="array" ref="H2">IF($A2="","",_xlfn.LET(_xlpm.t,UPPER(_xlfn._xlws.FILTER(detailed_overview!P$2:P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I2">
        <f t="array" ref="I2">IF($A2="","",_xlfn.LET(_xlpm.t,UPPER(_xlfn._xlws.FILTER(detailed_overview!Q$2:Q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J2">
        <f t="array" ref="J2">IF($A2="","",_xlfn.LET(_xlpm.t,UPPER(_xlfn._xlws.FILTER(detailed_overview!R$2:R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K2">
        <f t="array" ref="K2">IF($A2="","",_xlfn.LET(_xlpm.t,UPPER(_xlfn._xlws.FILTER(detailed_overview!S$2:S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L2">
        <f t="array" ref="L2">IF($A2="","","WITHOUT MIXTURE RULES: "&amp;_xlfn.LET(_xlpm.t,UPPER(_xlfn._xlws.FILTER(detailed_overview!T$2:T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M2">
        <f t="array" ref="M2">IF($A2="","","WITHOUT MIXTURE RULES: "&amp;_xlfn.LET(_xlpm.t,UPPER(_xlfn._xlws.FILTER(detailed_overview!U$2:U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N2">
        <f t="array" ref="N2">IF($A2="","","WITHOUT MIXTURE RULES: "&amp;_xlfn.LET(_xlpm.t,UPPER(_xlfn._xlws.FILTER(detailed_overview!V$2:V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O2">
        <f t="array" ref="O2">IF($A2="","","WITHOUT MIXTURE RULES: "&amp;_xlfn.LET(_xlpm.t,UPPER(_xlfn._xlws.FILTER(detailed_overview!W$2:W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P2">
        <f t="array" ref="P2">IF($A2="","","WITHOUT MIXTURE RULES: "&amp;_xlfn.LET(_xlpm.t,UPPER(_xlfn._xlws.FILTER(detailed_overview!X$2:X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Q2">
        <f t="array" ref="Q2">IF($A2="","","WITHOUT MIXTURE RULES: "&amp;_xlfn.LET(_xlpm.t,UPPER(_xlfn._xlws.FILTER(detailed_overview!Y$2:Y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R2">
        <f t="array" ref="R2">IF($A2="","","WITHOUT MIXTURE RULES: "&amp;_xlfn.LET(_xlpm.t,UPPER(_xlfn._xlws.FILTER(detailed_overview!Z$2:Z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S2">
        <f t="array" ref="S2">IF($A2="","","WITHOUT MIXTURE RULES: "&amp;_xlfn.LET(_xlpm.t,UPPER(_xlfn._xlws.FILTER(detailed_overview!AA$2:AA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T2">
        <f t="array" ref="T2">IF($A2="","",_xlfn.LET(_xlpm.t,UPPER(_xlfn._xlws.FILTER(detailed_overview!AB$2:AB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U2">
        <f t="array" ref="U2">IF($A2="","",_xlfn.LET(_xlpm.t,UPPER(_xlfn._xlws.FILTER(detailed_overview!AC$2:AC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V2">
        <f t="array" ref="V2">IF($A2="","",_xlfn.LET(_xlpm.t,UPPER(_xlfn._xlws.FILTER(detailed_overview!AD$2:AD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W2">
        <f t="array" ref="W2">IF($A2="","",_xlfn.LET(_xlpm.t,UPPER(_xlfn._xlws.FILTER(detailed_overview!AE$2:AE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X2">
        <f t="array" ref="X2">IF($A2="","",_xlfn.LET(_xlpm.t,UPPER(_xlfn._xlws.FILTER(detailed_overview!AF$2:AF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Y2">
        <f t="array" ref="Y2">IF($A2="","",_xlfn.LET(_xlpm.t,UPPER(_xlfn._xlws.FILTER(detailed_overview!AG$2:AG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  <c r="Z2">
        <f t="array" ref="Z2">IF($A2="","",_xlfn.LET(_xlpm.t,UPPER(_xlfn._xlws.FILTER(detailed_overview!AH$2:AH$50000,(detailed_overview!$A$2:$A$50000=$A2)*(detailed_overview!$D$2:$D$50000=$D2)*(detailed_overview!$F$2:$F$50000=$E2)*(detailed_overview!$G$2:$G$50000=TRUE),"")&amp;""),_xlpm.r,IF(ISNUMBER(SEARCH("RED",_xlpm.t)),4,IF(ISNUMBER(SEARCH("YELLOW",_xlpm.t)),2,IF(ISNUMBER(SEARCH("GREEN",_xlpm.t)),1,3))),CHOOSE(MAX(_xlpm.r),"GREEN","YELLOW","GREY","RED")))</f>
        <v/>
      </c>
    </row>
  </sheetData>
  <conditionalFormatting sqref="F2:Z50000">
    <cfRule type="expression" priority="5" dxfId="0" stopIfTrue="0">
      <formula>ISNUMBER(SEARCH("red",F2))</formula>
    </cfRule>
    <cfRule type="expression" priority="6" dxfId="1" stopIfTrue="0">
      <formula>ISNUMBER(SEARCH("yellow",F2))</formula>
    </cfRule>
    <cfRule type="expression" priority="7" dxfId="2" stopIfTrue="0">
      <formula>ISNUMBER(SEARCH("grey",F2))</formula>
    </cfRule>
    <cfRule type="expression" priority="8" dxfId="3" stopIfTrue="0">
      <formula>ISNUMBER(SEARCH("green",F2))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F9" sqref="F9"/>
    </sheetView>
  </sheetViews>
  <sheetFormatPr baseColWidth="10" defaultColWidth="8.83203125" defaultRowHeight="15"/>
  <cols>
    <col width="23.5" customWidth="1" min="4" max="4"/>
  </cols>
  <sheetData>
    <row r="1">
      <c r="A1" t="inlineStr">
        <is>
          <t>Product</t>
        </is>
      </c>
      <c r="B1" t="inlineStr">
        <is>
          <t>Min % Homogenous material in Product</t>
        </is>
      </c>
      <c r="C1" t="inlineStr">
        <is>
          <t>Max % Homogenous material in Product</t>
        </is>
      </c>
      <c r="D1" t="inlineStr">
        <is>
          <t>Homogenous Material</t>
        </is>
      </c>
      <c r="E1" t="inlineStr">
        <is>
          <t>Final Material Map</t>
        </is>
      </c>
      <c r="F1" t="inlineStr">
        <is>
          <t>Scenario ID</t>
        </is>
      </c>
      <c r="G1" t="inlineStr">
        <is>
          <t>Scenario Status</t>
        </is>
      </c>
      <c r="H1" t="inlineStr">
        <is>
          <t>Scenario Status Reason</t>
        </is>
      </c>
      <c r="I1" t="inlineStr">
        <is>
          <t>Minimal % of material in product</t>
        </is>
      </c>
      <c r="J1" t="inlineStr">
        <is>
          <t>Maximal % of material in product</t>
        </is>
      </c>
      <c r="K1" t="inlineStr">
        <is>
          <t>Minimal % of material in homogenous material</t>
        </is>
      </c>
      <c r="L1" t="inlineStr">
        <is>
          <t>Maximal % of material in homogenous material</t>
        </is>
      </c>
      <c r="M1" t="inlineStr">
        <is>
          <t>CAS</t>
        </is>
      </c>
      <c r="N1" t="inlineStr">
        <is>
          <t>C2C assessment carcinogenicity</t>
        </is>
      </c>
      <c r="O1" t="inlineStr">
        <is>
          <t>C2C assessment disruption of endocrine system</t>
        </is>
      </c>
      <c r="P1" t="inlineStr">
        <is>
          <t>C2C assessment mutagenicity genotoxicity</t>
        </is>
      </c>
      <c r="Q1" t="inlineStr">
        <is>
          <t>C2C assessment reproductive toxicity</t>
        </is>
      </c>
      <c r="R1" t="inlineStr">
        <is>
          <t>C2C assessment development toxicity</t>
        </is>
      </c>
      <c r="S1" t="inlineStr">
        <is>
          <t>C2C assessment neurotoxicity</t>
        </is>
      </c>
      <c r="T1" t="inlineStr">
        <is>
          <t>C2C assessment oral toxicity</t>
        </is>
      </c>
      <c r="U1" t="inlineStr">
        <is>
          <t>C2C assessment inhalative toxicity</t>
        </is>
      </c>
      <c r="V1" t="inlineStr">
        <is>
          <t>C2C assessment dermal toxicity</t>
        </is>
      </c>
      <c r="W1" t="inlineStr">
        <is>
          <t>C2C assessment skin eye respiratory corrosion irritation</t>
        </is>
      </c>
      <c r="X1" t="inlineStr">
        <is>
          <t>C2C assessment sensitization</t>
        </is>
      </c>
      <c r="Y1" t="inlineStr">
        <is>
          <t>C2C assessment fish toxicity</t>
        </is>
      </c>
      <c r="Z1" t="inlineStr">
        <is>
          <t>C2C assessment invertebrate toxicity</t>
        </is>
      </c>
      <c r="AA1" t="inlineStr">
        <is>
          <t>C2C assessment algae toxicity</t>
        </is>
      </c>
      <c r="AB1" t="inlineStr">
        <is>
          <t>C2C assessment terrestrial toxicity</t>
        </is>
      </c>
      <c r="AC1" t="inlineStr">
        <is>
          <t>C2C assessment other species toxicity</t>
        </is>
      </c>
      <c r="AD1" t="inlineStr">
        <is>
          <t>C2C assessment persistence</t>
        </is>
      </c>
      <c r="AE1" t="inlineStr">
        <is>
          <t>C2C assessment bioaccumulation</t>
        </is>
      </c>
      <c r="AF1" t="inlineStr">
        <is>
          <t>C2C assessment combined pb risk flag</t>
        </is>
      </c>
      <c r="AG1" t="inlineStr">
        <is>
          <t>C2C assessment combined aquatic risk flag</t>
        </is>
      </c>
      <c r="AH1" t="inlineStr">
        <is>
          <t>C2C assessment climatic relevance ozone depletion potential</t>
        </is>
      </c>
    </row>
  </sheetData>
  <autoFilter ref="A1:AH33"/>
  <conditionalFormatting sqref="N2:AH50000">
    <cfRule type="expression" priority="1" dxfId="0" stopIfTrue="0">
      <formula>ISNUMBER(SEARCH("red",N2))</formula>
    </cfRule>
    <cfRule type="expression" priority="2" dxfId="1" stopIfTrue="0">
      <formula>ISNUMBER(SEARCH("yellow",N2))</formula>
    </cfRule>
    <cfRule type="expression" priority="3" dxfId="2" stopIfTrue="0">
      <formula>ISNUMBER(SEARCH("grey",N2))</formula>
    </cfRule>
    <cfRule type="expression" priority="4" dxfId="3" stopIfTrue="0">
      <formula>ISNUMBER(SEARCH("green",N2))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2026-09-15T15:03:03Z</dcterms:created>
  <dcterms:modified xmlns:dcterms="http://purl.org/dc/terms/" xmlns:xsi="http://www.w3.org/2001/XMLSchema-instance" xsi:type="dcterms:W3CDTF">2026-09-16T08:48:52Z</dcterms:modified>
  <cp:lastModifiedBy>Julia Kulpa</cp:lastModifiedBy>
</cp:coreProperties>
</file>