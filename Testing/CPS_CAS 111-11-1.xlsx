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4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arche/Documents/Python/C2Cautomatisation/Testing/"/>
    </mc:Choice>
  </mc:AlternateContent>
  <xr:revisionPtr revIDLastSave="0" documentId="13_ncr:1_{7393DC36-F077-D64B-AA64-E5B5D535BADB}" xr6:coauthVersionLast="47" xr6:coauthVersionMax="47" xr10:uidLastSave="{00000000-0000-0000-0000-000000000000}"/>
  <bookViews>
    <workbookView xWindow="0" yWindow="760" windowWidth="30240" windowHeight="17200" tabRatio="500" xr2:uid="{00000000-000D-0000-FFFF-FFFF00000000}"/>
  </bookViews>
  <sheets>
    <sheet name="C2Coverview" sheetId="4" r:id="rId1"/>
    <sheet name="SourceText" sheetId="3" r:id="rId2"/>
  </sheets>
  <definedNames>
    <definedName name="Apparel">#REF!</definedName>
    <definedName name="Building_Materials">#REF!</definedName>
    <definedName name="CyclingScenario">#REF!</definedName>
    <definedName name="Home___Office_Supply">#REF!</definedName>
    <definedName name="Home_and_Office_Supply">#REF!</definedName>
    <definedName name="Interior_Design___Furniture">#REF!</definedName>
    <definedName name="Interior_Design_and_Furniture">#REF!</definedName>
    <definedName name="Liquid_Formulations">#REF!</definedName>
    <definedName name="Other">#REF!</definedName>
    <definedName name="Packaging___Single_Use_Products">#REF!</definedName>
    <definedName name="Packaging_and_Single_Use_Products">#REF!</definedName>
    <definedName name="Please_select">#REF!</definedName>
    <definedName name="_xlnm.Print_Area" localSheetId="0">'C2Coverview'!$A$1:$K$166</definedName>
    <definedName name="Product_Category">#REF!</definedName>
    <definedName name="Product_or_Application">#REF!</definedName>
    <definedName name="Recyclable">#REF!</definedName>
    <definedName name="TN">#REF!</definedName>
    <definedName name="Yes">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50" i="4" l="1"/>
  <c r="D149" i="4"/>
  <c r="D80" i="4"/>
  <c r="D79" i="4"/>
  <c r="D83" i="4"/>
  <c r="D82" i="4"/>
  <c r="D50" i="4"/>
  <c r="D57" i="4"/>
  <c r="D81" i="4"/>
  <c r="D78" i="4"/>
  <c r="D56" i="4"/>
  <c r="D49" i="4"/>
</calcChain>
</file>

<file path=xl/sharedStrings.xml><?xml version="1.0" encoding="utf-8"?>
<sst xmlns="http://schemas.openxmlformats.org/spreadsheetml/2006/main" count="314" uniqueCount="237">
  <si>
    <t>Arche</t>
  </si>
  <si>
    <t>General information</t>
  </si>
  <si>
    <t>Molecular Formula</t>
  </si>
  <si>
    <t>Chemical name</t>
  </si>
  <si>
    <t>Common name</t>
  </si>
  <si>
    <t>CAS number</t>
  </si>
  <si>
    <t>Name assessor</t>
  </si>
  <si>
    <t xml:space="preserve"> </t>
  </si>
  <si>
    <t>Detailed profile matrix</t>
  </si>
  <si>
    <t>Criteria</t>
  </si>
  <si>
    <t>Value</t>
  </si>
  <si>
    <t>Resource</t>
  </si>
  <si>
    <t>Notifiers</t>
  </si>
  <si>
    <t>Hazard Assessment</t>
  </si>
  <si>
    <t>Risk Assessment</t>
  </si>
  <si>
    <t>HUMAN HEALTH</t>
  </si>
  <si>
    <t>Carcinogenicity</t>
  </si>
  <si>
    <t>Carcinogenicity Classified CLP:</t>
  </si>
  <si>
    <t>Carcinogenicity Classified MAK:</t>
  </si>
  <si>
    <t>Carcinogenicity Classified IARC:</t>
  </si>
  <si>
    <t>Carcinogenicity Classified TLV:</t>
  </si>
  <si>
    <t>Carcinogenicity Comments:</t>
  </si>
  <si>
    <t>Disruption of endocrine system</t>
  </si>
  <si>
    <t>Endocrine Classified CLP:</t>
  </si>
  <si>
    <t>Endocrine evidence:</t>
  </si>
  <si>
    <t>Endocrine Disruption Comments:</t>
  </si>
  <si>
    <t>Mutagenicity/genotoxicity</t>
  </si>
  <si>
    <t>Mutagenicity Classified CLP:</t>
  </si>
  <si>
    <t>Mutagenicity Classified MAK:</t>
  </si>
  <si>
    <t>Point mutations: (OECD)</t>
  </si>
  <si>
    <t>Point mutations:</t>
  </si>
  <si>
    <t>Chromosome damaging:</t>
  </si>
  <si>
    <t>Mutagenicity Comments:</t>
  </si>
  <si>
    <t>Reproductive toxicity</t>
  </si>
  <si>
    <t>Reprotox Classified CLP:</t>
  </si>
  <si>
    <t>Reprotox Classified MAK:</t>
  </si>
  <si>
    <t>Oral NOAEL =</t>
  </si>
  <si>
    <t>Inhalation NOAEL =</t>
  </si>
  <si>
    <t>Reproductive Toxicity Comments:</t>
  </si>
  <si>
    <t>Development toxicity</t>
  </si>
  <si>
    <t>Developmental Classified CLP:</t>
  </si>
  <si>
    <t>Developmental Classified MAK:</t>
  </si>
  <si>
    <t>Developmental Toxicity Comments:</t>
  </si>
  <si>
    <t>Neurotoxicity</t>
  </si>
  <si>
    <t>Neurotox Classified CLP:</t>
  </si>
  <si>
    <t>Neurotox on a list:</t>
  </si>
  <si>
    <t xml:space="preserve">Neurotox scientific evidence? </t>
  </si>
  <si>
    <t>Neurotox chronic LOAEL:</t>
  </si>
  <si>
    <t>Neurtox STOT LOAEL:</t>
  </si>
  <si>
    <t>Neurotox Comments:</t>
  </si>
  <si>
    <t>Oral toxicity</t>
  </si>
  <si>
    <t>Oral toxicity Acute Tox classified:</t>
  </si>
  <si>
    <t>Oral toxicity STOT classified:</t>
  </si>
  <si>
    <t>Oral Acute: LD50 =</t>
  </si>
  <si>
    <t>mg/kg bw</t>
  </si>
  <si>
    <t>Oral Chronic: LOAEL =</t>
  </si>
  <si>
    <t>mg/kg  bw/day</t>
  </si>
  <si>
    <t>Oral Toxicity Comments:</t>
  </si>
  <si>
    <t>Inhalative toxicity</t>
  </si>
  <si>
    <t>Inhalative toxicity Acute Tox classification:</t>
  </si>
  <si>
    <t>Inhalative toxicity STOT classified:</t>
  </si>
  <si>
    <t>Acute: LC50 (gas) =</t>
  </si>
  <si>
    <t>Acute: LC50 (vapor) =</t>
  </si>
  <si>
    <t>Acute: LC50 (dust/mist/aerosol) =</t>
  </si>
  <si>
    <t>Chronic: LOAEL (gas) =</t>
  </si>
  <si>
    <t>Chronic: LOAEL (vapor) =</t>
  </si>
  <si>
    <t>Chronic: LOAEL (dust/mist/aerosol) =</t>
  </si>
  <si>
    <t xml:space="preserve">Boiling Point: </t>
  </si>
  <si>
    <t>Inhalative Toxicity Comments:</t>
  </si>
  <si>
    <t>Dermal toxicity</t>
  </si>
  <si>
    <t>Dermal toxicity Acute Tox classified:</t>
  </si>
  <si>
    <t>Dermal toxicity STOT classified:</t>
  </si>
  <si>
    <t>Dermal Acute: LD50 =</t>
  </si>
  <si>
    <t>mg/kg  bw</t>
  </si>
  <si>
    <t>Dermal Chronic: LOAEL =</t>
  </si>
  <si>
    <t>Dermal Toxicity Comments:</t>
  </si>
  <si>
    <t>Skin, Eye, Respiratory corrosion/irritation</t>
  </si>
  <si>
    <t>Skin irritation classification:</t>
  </si>
  <si>
    <t>Skin testing: conclusion:</t>
  </si>
  <si>
    <t>Eye irritation classification:</t>
  </si>
  <si>
    <t>Eye testing conclusion:</t>
  </si>
  <si>
    <t>Respiratory irritation classification:</t>
  </si>
  <si>
    <t>Respiratory testing conclusion:</t>
  </si>
  <si>
    <t>Sensitization</t>
  </si>
  <si>
    <t>Skin sensitization classification:</t>
  </si>
  <si>
    <t>Skin sensitization testing conclusion:</t>
  </si>
  <si>
    <t>Skin sensitization classified MAK:</t>
  </si>
  <si>
    <t>Inhalation sensitization classification:</t>
  </si>
  <si>
    <t>Inhalation sensitization testing conclusion:</t>
  </si>
  <si>
    <t>Inhalation sensitization classified MAK:</t>
  </si>
  <si>
    <t>Other</t>
  </si>
  <si>
    <t>Terrestial toxicity:</t>
  </si>
  <si>
    <t>Assessment</t>
  </si>
  <si>
    <t>ENVIRONMENTAL HEALTH</t>
  </si>
  <si>
    <t>Fish toxicity</t>
  </si>
  <si>
    <t>Aquatic toxicity CLP classification:</t>
  </si>
  <si>
    <t>Fish toxicity Acute: LC50 (96h) =</t>
  </si>
  <si>
    <t>mg/L</t>
  </si>
  <si>
    <t>Fish toxicity Chronic: NOEC =</t>
  </si>
  <si>
    <t>Water solubility:</t>
  </si>
  <si>
    <t xml:space="preserve">M factor: </t>
  </si>
  <si>
    <t>Invertebrate toxicity</t>
  </si>
  <si>
    <t>Invertebrae toxicity Chronic: NOEC =</t>
  </si>
  <si>
    <t>Algae toxicity</t>
  </si>
  <si>
    <t>Algae toxicity Acute: L(E)C50 (72/96h) =</t>
  </si>
  <si>
    <t>Algae toxicity Chronic: NOEC =</t>
  </si>
  <si>
    <t>Other species toxicity</t>
  </si>
  <si>
    <t>Any other CLP species classificaiton:</t>
  </si>
  <si>
    <t>Terrestrial toxicity</t>
  </si>
  <si>
    <t>Terrestial toxicity CLP classification:</t>
  </si>
  <si>
    <t>Bioaccumulation</t>
  </si>
  <si>
    <t>BCF/BAF (QSAR):</t>
  </si>
  <si>
    <t>BCF/BAF (experimental):</t>
  </si>
  <si>
    <t>Log kow:</t>
  </si>
  <si>
    <t>Molecular weight:</t>
  </si>
  <si>
    <t>g/mol</t>
  </si>
  <si>
    <t>Persistence</t>
  </si>
  <si>
    <t>% DOC biodegradation after 28 days:</t>
  </si>
  <si>
    <t>% ThOD biodegradation after 28 days:</t>
  </si>
  <si>
    <t>Degradation halflife time in air:</t>
  </si>
  <si>
    <t>Degradation halflife time in water</t>
  </si>
  <si>
    <t>soil or sediment:</t>
  </si>
  <si>
    <t>QSAR prediction:</t>
  </si>
  <si>
    <t>Climatic relevance/ozone depletion potential</t>
  </si>
  <si>
    <t>Yes or no</t>
  </si>
  <si>
    <t>CHEMICAL CLASS</t>
  </si>
  <si>
    <t>Organohalogens</t>
  </si>
  <si>
    <t>Toxic metal</t>
  </si>
  <si>
    <t>Colourant</t>
  </si>
  <si>
    <t>Geological</t>
  </si>
  <si>
    <t>Combined PB risk flag</t>
  </si>
  <si>
    <t>Combined aquatic risk flag</t>
  </si>
  <si>
    <t>OTHER INFORMATION</t>
  </si>
  <si>
    <t>VOC designation</t>
  </si>
  <si>
    <t>Molecular weight</t>
  </si>
  <si>
    <t>Boiling point</t>
  </si>
  <si>
    <t>Log kow (octanol-water partition coefficient)</t>
  </si>
  <si>
    <t>Vapor pressure</t>
  </si>
  <si>
    <t>Water solubility</t>
  </si>
  <si>
    <t>SMILES</t>
  </si>
  <si>
    <t>Literature sources</t>
  </si>
  <si>
    <t>IPCS INCHEM</t>
  </si>
  <si>
    <t>EPA Ecotox</t>
  </si>
  <si>
    <t>ECHA dessimination website</t>
  </si>
  <si>
    <t>eChemPortal</t>
  </si>
  <si>
    <t>IARC</t>
  </si>
  <si>
    <t>In Pharos</t>
  </si>
  <si>
    <t>ECHA C&amp;L inventory</t>
  </si>
  <si>
    <t>(In pharos)</t>
  </si>
  <si>
    <t>MAK</t>
  </si>
  <si>
    <t>HSBD</t>
  </si>
  <si>
    <t>Colborn list</t>
  </si>
  <si>
    <t>California Proposition 65 list</t>
  </si>
  <si>
    <t>Mundy</t>
  </si>
  <si>
    <t>HPVIS</t>
  </si>
  <si>
    <t>grandjean et al</t>
  </si>
  <si>
    <t>Montreal protocol</t>
  </si>
  <si>
    <t>IPCC</t>
  </si>
  <si>
    <t>EPA ozone depleting substance</t>
  </si>
  <si>
    <t>UBA WGK</t>
  </si>
  <si>
    <t>REACH restricted substances</t>
  </si>
  <si>
    <t>candidate list for SVHC</t>
  </si>
  <si>
    <t>POPs list of Stockholm convention</t>
  </si>
  <si>
    <t>Pharos</t>
  </si>
  <si>
    <t>Endocrine</t>
  </si>
  <si>
    <t>Excel table</t>
  </si>
  <si>
    <t>https://echa.europa.eu/information-on-chemicals</t>
  </si>
  <si>
    <t>Mutation entry</t>
  </si>
  <si>
    <t>Password to unlock sheet: Arche</t>
  </si>
  <si>
    <t>Click here to add test</t>
  </si>
  <si>
    <t>Chromosome damaging: (OECD)</t>
  </si>
  <si>
    <t>Mutagenicity test: (other)</t>
  </si>
  <si>
    <t>Classified or listed:</t>
  </si>
  <si>
    <t>Not listed</t>
  </si>
  <si>
    <t>No data</t>
  </si>
  <si>
    <t>Fill in name of test</t>
  </si>
  <si>
    <t>Quality controlled date</t>
  </si>
  <si>
    <t>Date created/updated</t>
  </si>
  <si>
    <t>Polymer</t>
  </si>
  <si>
    <t>MAK III 2</t>
  </si>
  <si>
    <t>Carc. 1A: H350: May cause cancer</t>
  </si>
  <si>
    <t>ED</t>
  </si>
  <si>
    <t>Evidence of endocrine effects in animals/micro organisms</t>
  </si>
  <si>
    <t>Testing ED</t>
  </si>
  <si>
    <t>Testing carc com</t>
  </si>
  <si>
    <t>Test TLV</t>
  </si>
  <si>
    <t>IARC 1</t>
  </si>
  <si>
    <t>Repr. 1B: H360: May damage fertility or the unborn child</t>
  </si>
  <si>
    <t>Testing reprotox com</t>
  </si>
  <si>
    <t>MAK A</t>
  </si>
  <si>
    <t>MAK B</t>
  </si>
  <si>
    <t>Test develop</t>
  </si>
  <si>
    <t>CLP clas neurotox</t>
  </si>
  <si>
    <t>Yes</t>
  </si>
  <si>
    <t>testing neurotox</t>
  </si>
  <si>
    <t>Acute Tox. 1: H300: Fatal if swallowed</t>
  </si>
  <si>
    <t>STOT SE 2: H371: May cause damage to organs via oral exposure</t>
  </si>
  <si>
    <t>Test oral tox</t>
  </si>
  <si>
    <t>Acute Tox. 2: H330: Fatal if inhaled</t>
  </si>
  <si>
    <t>STOT SE 2: H371: May damage organs via inhal. exp.</t>
  </si>
  <si>
    <t>Inhal comment</t>
  </si>
  <si>
    <t>Acute Tox. 3: H311: Toxic in contact with skin</t>
  </si>
  <si>
    <t>STOT RE 1: H372: Causes damage via repeated dermal exposure</t>
  </si>
  <si>
    <t>dermal com</t>
  </si>
  <si>
    <t>Not irritating according to testing</t>
  </si>
  <si>
    <t>Skin corrosive according to testing</t>
  </si>
  <si>
    <t>Eye irrit. 2b: H320 Causes eye irritation</t>
  </si>
  <si>
    <t>Irritating according to testing</t>
  </si>
  <si>
    <t>Corrosive according to testing</t>
  </si>
  <si>
    <t>MAK Sh</t>
  </si>
  <si>
    <t>Not sensitzing according to testing</t>
  </si>
  <si>
    <t>MAK Sa</t>
  </si>
  <si>
    <t>Substance is inherently biodegradable</t>
  </si>
  <si>
    <t>No persit</t>
  </si>
  <si>
    <t>No</t>
  </si>
  <si>
    <t>Karel Viaene</t>
  </si>
  <si>
    <t>111-11-1</t>
  </si>
  <si>
    <t>Test substance</t>
  </si>
  <si>
    <t>Testing substance</t>
  </si>
  <si>
    <t>CCCCC</t>
  </si>
  <si>
    <t>In vitro bact: OECD 471 (Ames)</t>
  </si>
  <si>
    <t>In vitro mam: OECD 476</t>
  </si>
  <si>
    <t>In vitro mam: OECD 490</t>
  </si>
  <si>
    <t>In vivo mam: OECD 488</t>
  </si>
  <si>
    <t>In vivo mam: OECD 486</t>
  </si>
  <si>
    <t>Muta. 1B: H340: May cause genetic defects</t>
  </si>
  <si>
    <t>MAK IX 3A</t>
  </si>
  <si>
    <t>Positive</t>
  </si>
  <si>
    <t>Negative</t>
  </si>
  <si>
    <t>Aqua. Acute 3: H402</t>
  </si>
  <si>
    <t>Aqua. Chronic 2: H411</t>
  </si>
  <si>
    <t>Aqua. Acute 1: H400</t>
  </si>
  <si>
    <t>MAXIMUM</t>
  </si>
  <si>
    <t>Invertebrate toxicity Acute: L(E)C50 (48h) =</t>
  </si>
  <si>
    <t>Testing muta com</t>
  </si>
  <si>
    <t>In vivo mam: OECD 485</t>
  </si>
  <si>
    <t>In vivo mam: OECD 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</si>
</sst>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trike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3F7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28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30">
    <xf numFmtId="0" fontId="0" fillId="0" borderId="0" xfId="0"/>
    <xf numFmtId="164" fontId="0" fillId="0" borderId="0" xfId="0" applyNumberFormat="1" applyAlignment="1">
      <alignment horizontal="left"/>
    </xf>
    <xf numFmtId="0" fontId="1" fillId="0" borderId="0" xfId="0" applyFont="1"/>
    <xf numFmtId="0" fontId="5" fillId="0" borderId="0" xfId="0" applyFont="1"/>
    <xf numFmtId="0" fontId="6" fillId="0" borderId="0" xfId="0" applyFont="1"/>
    <xf numFmtId="0" fontId="1" fillId="0" borderId="1" xfId="0" applyFont="1" applyBorder="1"/>
    <xf numFmtId="0" fontId="1" fillId="0" borderId="8" xfId="0" applyFont="1" applyBorder="1"/>
    <xf numFmtId="0" fontId="0" fillId="2" borderId="0" xfId="0" applyFill="1"/>
    <xf numFmtId="0" fontId="0" fillId="0" borderId="2" xfId="0" applyBorder="1"/>
    <xf numFmtId="0" fontId="0" fillId="0" borderId="4" xfId="0" applyBorder="1"/>
    <xf numFmtId="0" fontId="7" fillId="0" borderId="0" xfId="0" applyFont="1"/>
    <xf numFmtId="0" fontId="0" fillId="0" borderId="0" xfId="0" quotePrefix="1"/>
    <xf numFmtId="0" fontId="0" fillId="3" borderId="0" xfId="0" applyFill="1"/>
    <xf numFmtId="16" fontId="0" fillId="3" borderId="0" xfId="0" applyNumberFormat="1" applyFill="1"/>
    <xf numFmtId="164" fontId="0" fillId="0" borderId="0" xfId="0" quotePrefix="1" applyNumberFormat="1" applyAlignment="1">
      <alignment horizontal="left"/>
    </xf>
    <xf numFmtId="0" fontId="0" fillId="0" borderId="0" xfId="0" applyAlignment="1">
      <alignment horizontal="center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3" xfId="0" applyBorder="1" applyAlignment="1">
      <alignment horizontal="right"/>
    </xf>
    <xf numFmtId="0" fontId="2" fillId="0" borderId="0" xfId="279" applyAlignment="1">
      <alignment horizontal="right"/>
    </xf>
    <xf numFmtId="0" fontId="2" fillId="0" borderId="0" xfId="279" applyFill="1" applyBorder="1" applyAlignment="1">
      <alignment horizontal="right"/>
    </xf>
    <xf numFmtId="0" fontId="2" fillId="3" borderId="0" xfId="279" applyFill="1" applyBorder="1" applyAlignment="1">
      <alignment horizontal="right"/>
    </xf>
    <xf numFmtId="0" fontId="0" fillId="2" borderId="1" xfId="0" applyFill="1" applyBorder="1"/>
    <xf numFmtId="0" fontId="0" fillId="2" borderId="6" xfId="0" applyFill="1" applyBorder="1" applyAlignment="1">
      <alignment horizontal="right"/>
    </xf>
    <xf numFmtId="0" fontId="0" fillId="2" borderId="7" xfId="0" applyFill="1" applyBorder="1"/>
    <xf numFmtId="0" fontId="0" fillId="2" borderId="8" xfId="0" applyFill="1" applyBorder="1"/>
    <xf numFmtId="0" fontId="0" fillId="2" borderId="6" xfId="0" applyFill="1" applyBorder="1"/>
    <xf numFmtId="0" fontId="0" fillId="0" borderId="9" xfId="0" applyBorder="1"/>
    <xf numFmtId="0" fontId="0" fillId="0" borderId="13" xfId="0" applyBorder="1"/>
    <xf numFmtId="0" fontId="0" fillId="0" borderId="20" xfId="0" applyBorder="1"/>
    <xf numFmtId="0" fontId="0" fillId="0" borderId="14" xfId="0" applyBorder="1"/>
    <xf numFmtId="0" fontId="0" fillId="0" borderId="5" xfId="0" applyBorder="1"/>
    <xf numFmtId="0" fontId="0" fillId="0" borderId="3" xfId="0" applyBorder="1"/>
    <xf numFmtId="0" fontId="0" fillId="0" borderId="21" xfId="0" applyBorder="1"/>
    <xf numFmtId="49" fontId="0" fillId="0" borderId="0" xfId="0" applyNumberFormat="1"/>
    <xf numFmtId="0" fontId="0" fillId="2" borderId="0" xfId="0" applyFill="1" applyAlignment="1">
      <alignment horizontal="right"/>
    </xf>
    <xf numFmtId="0" fontId="0" fillId="2" borderId="7" xfId="0" applyFill="1" applyBorder="1" applyAlignment="1">
      <alignment horizontal="right"/>
    </xf>
    <xf numFmtId="0" fontId="0" fillId="0" borderId="21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15" xfId="0" applyBorder="1"/>
    <xf numFmtId="0" fontId="0" fillId="0" borderId="19" xfId="0" applyBorder="1" applyAlignment="1">
      <alignment horizontal="right"/>
    </xf>
    <xf numFmtId="0" fontId="0" fillId="5" borderId="9" xfId="0" applyFill="1" applyBorder="1"/>
    <xf numFmtId="0" fontId="0" fillId="5" borderId="6" xfId="0" applyFill="1" applyBorder="1" applyAlignment="1">
      <alignment horizontal="right"/>
    </xf>
    <xf numFmtId="0" fontId="0" fillId="5" borderId="7" xfId="0" applyFill="1" applyBorder="1"/>
    <xf numFmtId="0" fontId="0" fillId="5" borderId="8" xfId="0" applyFill="1" applyBorder="1"/>
    <xf numFmtId="0" fontId="0" fillId="5" borderId="6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0" xfId="0" applyFill="1"/>
    <xf numFmtId="0" fontId="0" fillId="5" borderId="4" xfId="0" applyFill="1" applyBorder="1"/>
    <xf numFmtId="0" fontId="0" fillId="5" borderId="3" xfId="0" applyFill="1" applyBorder="1"/>
    <xf numFmtId="0" fontId="0" fillId="5" borderId="3" xfId="0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0" fillId="6" borderId="1" xfId="0" applyFill="1" applyBorder="1"/>
    <xf numFmtId="0" fontId="8" fillId="5" borderId="2" xfId="0" applyFont="1" applyFill="1" applyBorder="1" applyAlignment="1">
      <alignment horizontal="center" wrapText="1"/>
    </xf>
    <xf numFmtId="0" fontId="8" fillId="2" borderId="8" xfId="0" applyFont="1" applyFill="1" applyBorder="1" applyAlignment="1">
      <alignment wrapText="1"/>
    </xf>
    <xf numFmtId="0" fontId="8" fillId="5" borderId="4" xfId="0" applyFont="1" applyFill="1" applyBorder="1" applyAlignment="1">
      <alignment horizontal="center" wrapText="1"/>
    </xf>
    <xf numFmtId="0" fontId="8" fillId="5" borderId="2" xfId="0" applyFont="1" applyFill="1" applyBorder="1" applyAlignment="1">
      <alignment wrapText="1"/>
    </xf>
    <xf numFmtId="0" fontId="8" fillId="5" borderId="2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8" fillId="5" borderId="2" xfId="0" applyFont="1" applyFill="1" applyBorder="1"/>
    <xf numFmtId="2" fontId="0" fillId="7" borderId="1" xfId="0" applyNumberFormat="1" applyFill="1" applyBorder="1"/>
    <xf numFmtId="0" fontId="0" fillId="7" borderId="1" xfId="0" applyFill="1" applyBorder="1"/>
    <xf numFmtId="0" fontId="0" fillId="7" borderId="9" xfId="0" applyFill="1" applyBorder="1"/>
    <xf numFmtId="0" fontId="0" fillId="0" borderId="16" xfId="0" applyBorder="1"/>
    <xf numFmtId="0" fontId="0" fillId="0" borderId="11" xfId="0" applyBorder="1"/>
    <xf numFmtId="0" fontId="0" fillId="0" borderId="12" xfId="0" applyBorder="1"/>
    <xf numFmtId="0" fontId="0" fillId="0" borderId="10" xfId="0" applyBorder="1"/>
    <xf numFmtId="0" fontId="0" fillId="0" borderId="17" xfId="0" applyBorder="1"/>
    <xf numFmtId="0" fontId="0" fillId="0" borderId="18" xfId="0" applyBorder="1"/>
    <xf numFmtId="0" fontId="0" fillId="0" borderId="0" xfId="0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7" xfId="0" applyBorder="1"/>
    <xf numFmtId="0" fontId="8" fillId="0" borderId="7" xfId="0" applyFont="1" applyBorder="1" applyAlignment="1">
      <alignment horizontal="center"/>
    </xf>
    <xf numFmtId="0" fontId="1" fillId="8" borderId="22" xfId="0" applyFont="1" applyFill="1" applyBorder="1"/>
    <xf numFmtId="0" fontId="0" fillId="0" borderId="0" xfId="0" applyAlignment="1">
      <alignment horizontal="left" vertical="center"/>
    </xf>
    <xf numFmtId="14" fontId="0" fillId="0" borderId="0" xfId="0" applyNumberFormat="1"/>
    <xf numFmtId="0" fontId="9" fillId="0" borderId="0" xfId="0" applyFont="1"/>
    <xf numFmtId="3" fontId="0" fillId="7" borderId="1" xfId="0" applyNumberFormat="1" applyFill="1" applyBorder="1"/>
    <xf numFmtId="0" fontId="0" fillId="0" borderId="3" xfId="0" applyBorder="1" applyAlignment="1">
      <alignment horizontal="right" wrapText="1"/>
    </xf>
    <xf numFmtId="0" fontId="8" fillId="0" borderId="4" xfId="0" applyFont="1" applyBorder="1" applyAlignment="1">
      <alignment horizontal="center"/>
    </xf>
    <xf numFmtId="0" fontId="0" fillId="6" borderId="6" xfId="0" applyFill="1" applyBorder="1" applyAlignment="1">
      <alignment horizontal="left"/>
    </xf>
    <xf numFmtId="0" fontId="0" fillId="6" borderId="8" xfId="0" applyFill="1" applyBorder="1" applyAlignment="1">
      <alignment horizontal="left"/>
    </xf>
    <xf numFmtId="0" fontId="8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center"/>
    </xf>
    <xf numFmtId="0" fontId="0" fillId="6" borderId="7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6" borderId="1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0" xfId="0" applyFill="1" applyAlignment="1">
      <alignment horizontal="left" wrapText="1"/>
    </xf>
    <xf numFmtId="0" fontId="8" fillId="4" borderId="4" xfId="0" applyFont="1" applyFill="1" applyBorder="1" applyAlignment="1">
      <alignment horizontal="center" wrapText="1"/>
    </xf>
    <xf numFmtId="0" fontId="1" fillId="8" borderId="0" xfId="0" applyFont="1" applyFill="1"/>
    <xf numFmtId="0" fontId="0" fillId="0" borderId="0" xfId="0" applyAlignment="1">
      <alignment wrapText="1"/>
    </xf>
    <xf numFmtId="0" fontId="8" fillId="9" borderId="2" xfId="0" applyFont="1" applyFill="1" applyBorder="1" applyAlignment="1">
      <alignment horizontal="center" wrapText="1"/>
    </xf>
    <xf numFmtId="0" fontId="0" fillId="7" borderId="2" xfId="0" applyFill="1" applyBorder="1"/>
    <xf numFmtId="0" fontId="8" fillId="0" borderId="20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center"/>
    </xf>
    <xf numFmtId="0" fontId="8" fillId="3" borderId="2" xfId="0" applyFont="1" applyFill="1" applyBorder="1" applyAlignment="1">
      <alignment horizontal="center" wrapText="1"/>
    </xf>
    <xf numFmtId="0" fontId="8" fillId="4" borderId="2" xfId="0" applyFont="1" applyFill="1" applyBorder="1" applyAlignment="1">
      <alignment horizontal="center" wrapText="1"/>
    </xf>
    <xf numFmtId="0" fontId="8" fillId="4" borderId="13" xfId="0" applyFont="1" applyFill="1" applyBorder="1" applyAlignment="1">
      <alignment horizontal="center" wrapText="1"/>
    </xf>
    <xf numFmtId="0" fontId="8" fillId="0" borderId="13" xfId="0" applyFont="1" applyBorder="1" applyAlignment="1">
      <alignment horizontal="center"/>
    </xf>
    <xf numFmtId="0" fontId="0" fillId="6" borderId="6" xfId="0" applyFill="1" applyBorder="1" applyAlignment="1">
      <alignment horizontal="left" wrapText="1"/>
    </xf>
    <xf numFmtId="0" fontId="0" fillId="6" borderId="7" xfId="0" applyFill="1" applyBorder="1" applyAlignment="1">
      <alignment horizontal="left" wrapText="1"/>
    </xf>
    <xf numFmtId="0" fontId="0" fillId="6" borderId="8" xfId="0" applyFill="1" applyBorder="1" applyAlignment="1">
      <alignment horizontal="left" wrapText="1"/>
    </xf>
    <xf numFmtId="0" fontId="8" fillId="0" borderId="9" xfId="0" applyFont="1" applyBorder="1" applyAlignment="1">
      <alignment horizontal="center" wrapText="1"/>
    </xf>
    <xf numFmtId="0" fontId="1" fillId="0" borderId="6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8" fillId="0" borderId="9" xfId="0" applyFont="1" applyBorder="1" applyAlignment="1">
      <alignment horizontal="center"/>
    </xf>
    <xf numFmtId="0" fontId="0" fillId="6" borderId="6" xfId="0" applyFill="1" applyBorder="1" applyAlignment="1">
      <alignment horizontal="left"/>
    </xf>
    <xf numFmtId="0" fontId="0" fillId="6" borderId="7" xfId="0" applyFill="1" applyBorder="1" applyAlignment="1">
      <alignment horizontal="left"/>
    </xf>
    <xf numFmtId="0" fontId="0" fillId="6" borderId="8" xfId="0" applyFill="1" applyBorder="1" applyAlignment="1">
      <alignment horizontal="left"/>
    </xf>
    <xf numFmtId="0" fontId="8" fillId="0" borderId="4" xfId="0" applyFont="1" applyBorder="1" applyAlignment="1">
      <alignment horizontal="center" wrapText="1"/>
    </xf>
    <xf numFmtId="0" fontId="8" fillId="4" borderId="2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 wrapText="1"/>
    </xf>
    <xf numFmtId="0" fontId="8" fillId="10" borderId="2" xfId="0" applyFont="1" applyFill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8" fillId="4" borderId="9" xfId="0" applyFont="1" applyFill="1" applyBorder="1" applyAlignment="1">
      <alignment horizontal="center" wrapText="1"/>
    </xf>
  </cellXfs>
  <cellStyles count="280">
    <cellStyle name="Followed Hyperlink" xfId="252" builtinId="9" hidden="1"/>
    <cellStyle name="Followed Hyperlink" xfId="220" builtinId="9" hidden="1"/>
    <cellStyle name="Followed Hyperlink" xfId="112" builtinId="9" hidden="1"/>
    <cellStyle name="Followed Hyperlink" xfId="132" builtinId="9" hidden="1"/>
    <cellStyle name="Followed Hyperlink" xfId="152" builtinId="9" hidden="1"/>
    <cellStyle name="Followed Hyperlink" xfId="176" builtinId="9" hidden="1"/>
    <cellStyle name="Followed Hyperlink" xfId="188" builtinId="9" hidden="1"/>
    <cellStyle name="Followed Hyperlink" xfId="124" builtinId="9" hidden="1"/>
    <cellStyle name="Followed Hyperlink" xfId="96" builtinId="9" hidden="1"/>
    <cellStyle name="Followed Hyperlink" xfId="76" builtinId="9" hidden="1"/>
    <cellStyle name="Followed Hyperlink" xfId="68" builtinId="9" hidden="1"/>
    <cellStyle name="Followed Hyperlink" xfId="92" builtinId="9" hidden="1"/>
    <cellStyle name="Followed Hyperlink" xfId="88" builtinId="9" hidden="1"/>
    <cellStyle name="Followed Hyperlink" xfId="140" builtinId="9" hidden="1"/>
    <cellStyle name="Followed Hyperlink" xfId="192" builtinId="9" hidden="1"/>
    <cellStyle name="Followed Hyperlink" xfId="168" builtinId="9" hidden="1"/>
    <cellStyle name="Followed Hyperlink" xfId="148" builtinId="9" hidden="1"/>
    <cellStyle name="Followed Hyperlink" xfId="128" builtinId="9" hidden="1"/>
    <cellStyle name="Followed Hyperlink" xfId="196" builtinId="9" hidden="1"/>
    <cellStyle name="Followed Hyperlink" xfId="228" builtinId="9" hidden="1"/>
    <cellStyle name="Followed Hyperlink" xfId="260" builtinId="9" hidden="1"/>
    <cellStyle name="Followed Hyperlink" xfId="266" builtinId="9" hidden="1"/>
    <cellStyle name="Followed Hyperlink" xfId="234" builtinId="9" hidden="1"/>
    <cellStyle name="Followed Hyperlink" xfId="202" builtinId="9" hidden="1"/>
    <cellStyle name="Followed Hyperlink" xfId="170" builtinId="9" hidden="1"/>
    <cellStyle name="Followed Hyperlink" xfId="138" builtinId="9" hidden="1"/>
    <cellStyle name="Followed Hyperlink" xfId="106" builtinId="9" hidden="1"/>
    <cellStyle name="Followed Hyperlink" xfId="74" builtinId="9" hidden="1"/>
    <cellStyle name="Followed Hyperlink" xfId="36" builtinId="9" hidden="1"/>
    <cellStyle name="Followed Hyperlink" xfId="58" builtinId="9" hidden="1"/>
    <cellStyle name="Followed Hyperlink" xfId="22" builtinId="9" hidden="1"/>
    <cellStyle name="Followed Hyperlink" xfId="8" builtinId="9" hidden="1"/>
    <cellStyle name="Followed Hyperlink" xfId="20" builtinId="9" hidden="1"/>
    <cellStyle name="Followed Hyperlink" xfId="46" builtinId="9" hidden="1"/>
    <cellStyle name="Followed Hyperlink" xfId="50" builtinId="9" hidden="1"/>
    <cellStyle name="Followed Hyperlink" xfId="28" builtinId="9" hidden="1"/>
    <cellStyle name="Followed Hyperlink" xfId="86" builtinId="9" hidden="1"/>
    <cellStyle name="Followed Hyperlink" xfId="270" builtinId="9" hidden="1"/>
    <cellStyle name="Followed Hyperlink" xfId="254" builtinId="9" hidden="1"/>
    <cellStyle name="Followed Hyperlink" xfId="230" builtinId="9" hidden="1"/>
    <cellStyle name="Followed Hyperlink" xfId="206" builtinId="9" hidden="1"/>
    <cellStyle name="Followed Hyperlink" xfId="190" builtinId="9" hidden="1"/>
    <cellStyle name="Followed Hyperlink" xfId="166" builtinId="9" hidden="1"/>
    <cellStyle name="Followed Hyperlink" xfId="142" builtinId="9" hidden="1"/>
    <cellStyle name="Followed Hyperlink" xfId="126" builtinId="9" hidden="1"/>
    <cellStyle name="Followed Hyperlink" xfId="118" builtinId="9" hidden="1"/>
    <cellStyle name="Followed Hyperlink" xfId="182" builtinId="9" hidden="1"/>
    <cellStyle name="Followed Hyperlink" xfId="246" builtinId="9" hidden="1"/>
    <cellStyle name="Followed Hyperlink" xfId="232" builtinId="9" hidden="1"/>
    <cellStyle name="Followed Hyperlink" xfId="256" builtinId="9" hidden="1"/>
    <cellStyle name="Followed Hyperlink" xfId="272" builtinId="9" hidden="1"/>
    <cellStyle name="Followed Hyperlink" xfId="216" builtinId="9" hidden="1"/>
    <cellStyle name="Followed Hyperlink" xfId="208" builtinId="9" hidden="1"/>
    <cellStyle name="Followed Hyperlink" xfId="200" builtinId="9" hidden="1"/>
    <cellStyle name="Followed Hyperlink" xfId="224" builtinId="9" hidden="1"/>
    <cellStyle name="Followed Hyperlink" xfId="248" builtinId="9" hidden="1"/>
    <cellStyle name="Followed Hyperlink" xfId="264" builtinId="9" hidden="1"/>
    <cellStyle name="Followed Hyperlink" xfId="240" builtinId="9" hidden="1"/>
    <cellStyle name="Followed Hyperlink" xfId="278" builtinId="9" hidden="1"/>
    <cellStyle name="Followed Hyperlink" xfId="214" builtinId="9" hidden="1"/>
    <cellStyle name="Followed Hyperlink" xfId="150" builtinId="9" hidden="1"/>
    <cellStyle name="Followed Hyperlink" xfId="110" builtinId="9" hidden="1"/>
    <cellStyle name="Followed Hyperlink" xfId="134" builtinId="9" hidden="1"/>
    <cellStyle name="Followed Hyperlink" xfId="158" builtinId="9" hidden="1"/>
    <cellStyle name="Followed Hyperlink" xfId="174" builtinId="9" hidden="1"/>
    <cellStyle name="Followed Hyperlink" xfId="198" builtinId="9" hidden="1"/>
    <cellStyle name="Followed Hyperlink" xfId="222" builtinId="9" hidden="1"/>
    <cellStyle name="Followed Hyperlink" xfId="238" builtinId="9" hidden="1"/>
    <cellStyle name="Followed Hyperlink" xfId="262" builtinId="9" hidden="1"/>
    <cellStyle name="Followed Hyperlink" xfId="102" builtinId="9" hidden="1"/>
    <cellStyle name="Followed Hyperlink" xfId="70" builtinId="9" hidden="1"/>
    <cellStyle name="Followed Hyperlink" xfId="40" builtinId="9" hidden="1"/>
    <cellStyle name="Followed Hyperlink" xfId="60" builtinId="9" hidden="1"/>
    <cellStyle name="Followed Hyperlink" xfId="10" builtinId="9" hidden="1"/>
    <cellStyle name="Followed Hyperlink" xfId="4" builtinId="9" hidden="1"/>
    <cellStyle name="Followed Hyperlink" xfId="18" builtinId="9" hidden="1"/>
    <cellStyle name="Followed Hyperlink" xfId="54" builtinId="9" hidden="1"/>
    <cellStyle name="Followed Hyperlink" xfId="48" builtinId="9" hidden="1"/>
    <cellStyle name="Followed Hyperlink" xfId="26" builtinId="9" hidden="1"/>
    <cellStyle name="Followed Hyperlink" xfId="90" builtinId="9" hidden="1"/>
    <cellStyle name="Followed Hyperlink" xfId="122" builtinId="9" hidden="1"/>
    <cellStyle name="Followed Hyperlink" xfId="154" builtinId="9" hidden="1"/>
    <cellStyle name="Followed Hyperlink" xfId="186" builtinId="9" hidden="1"/>
    <cellStyle name="Followed Hyperlink" xfId="218" builtinId="9" hidden="1"/>
    <cellStyle name="Followed Hyperlink" xfId="250" builtinId="9" hidden="1"/>
    <cellStyle name="Followed Hyperlink" xfId="276" builtinId="9" hidden="1"/>
    <cellStyle name="Followed Hyperlink" xfId="244" builtinId="9" hidden="1"/>
    <cellStyle name="Followed Hyperlink" xfId="212" builtinId="9" hidden="1"/>
    <cellStyle name="Followed Hyperlink" xfId="116" builtinId="9" hidden="1"/>
    <cellStyle name="Followed Hyperlink" xfId="136" builtinId="9" hidden="1"/>
    <cellStyle name="Followed Hyperlink" xfId="160" builtinId="9" hidden="1"/>
    <cellStyle name="Followed Hyperlink" xfId="180" builtinId="9" hidden="1"/>
    <cellStyle name="Followed Hyperlink" xfId="172" builtinId="9" hidden="1"/>
    <cellStyle name="Followed Hyperlink" xfId="108" builtinId="9" hidden="1"/>
    <cellStyle name="Followed Hyperlink" xfId="100" builtinId="9" hidden="1"/>
    <cellStyle name="Followed Hyperlink" xfId="80" builtinId="9" hidden="1"/>
    <cellStyle name="Followed Hyperlink" xfId="72" builtinId="9" hidden="1"/>
    <cellStyle name="Followed Hyperlink" xfId="104" builtinId="9" hidden="1"/>
    <cellStyle name="Followed Hyperlink" xfId="84" builtinId="9" hidden="1"/>
    <cellStyle name="Followed Hyperlink" xfId="156" builtinId="9" hidden="1"/>
    <cellStyle name="Followed Hyperlink" xfId="184" builtinId="9" hidden="1"/>
    <cellStyle name="Followed Hyperlink" xfId="164" builtinId="9" hidden="1"/>
    <cellStyle name="Followed Hyperlink" xfId="144" builtinId="9" hidden="1"/>
    <cellStyle name="Followed Hyperlink" xfId="120" builtinId="9" hidden="1"/>
    <cellStyle name="Followed Hyperlink" xfId="204" builtinId="9" hidden="1"/>
    <cellStyle name="Followed Hyperlink" xfId="236" builtinId="9" hidden="1"/>
    <cellStyle name="Followed Hyperlink" xfId="268" builtinId="9" hidden="1"/>
    <cellStyle name="Followed Hyperlink" xfId="14" builtinId="9" hidden="1"/>
    <cellStyle name="Followed Hyperlink" xfId="12" builtinId="9" hidden="1"/>
    <cellStyle name="Followed Hyperlink" xfId="38" builtinId="9" hidden="1"/>
    <cellStyle name="Followed Hyperlink" xfId="52" builtinId="9" hidden="1"/>
    <cellStyle name="Followed Hyperlink" xfId="42" builtinId="9" hidden="1"/>
    <cellStyle name="Followed Hyperlink" xfId="32" builtinId="9" hidden="1"/>
    <cellStyle name="Followed Hyperlink" xfId="82" builtinId="9" hidden="1"/>
    <cellStyle name="Followed Hyperlink" xfId="98" builtinId="9" hidden="1"/>
    <cellStyle name="Followed Hyperlink" xfId="114" builtinId="9" hidden="1"/>
    <cellStyle name="Followed Hyperlink" xfId="146" builtinId="9" hidden="1"/>
    <cellStyle name="Followed Hyperlink" xfId="162" builtinId="9" hidden="1"/>
    <cellStyle name="Followed Hyperlink" xfId="178" builtinId="9" hidden="1"/>
    <cellStyle name="Followed Hyperlink" xfId="210" builtinId="9" hidden="1"/>
    <cellStyle name="Followed Hyperlink" xfId="226" builtinId="9" hidden="1"/>
    <cellStyle name="Followed Hyperlink" xfId="242" builtinId="9" hidden="1"/>
    <cellStyle name="Followed Hyperlink" xfId="274" builtinId="9" hidden="1"/>
    <cellStyle name="Followed Hyperlink" xfId="258" builtinId="9" hidden="1"/>
    <cellStyle name="Followed Hyperlink" xfId="194" builtinId="9" hidden="1"/>
    <cellStyle name="Followed Hyperlink" xfId="130" builtinId="9" hidden="1"/>
    <cellStyle name="Followed Hyperlink" xfId="66" builtinId="9" hidden="1"/>
    <cellStyle name="Followed Hyperlink" xfId="64" builtinId="9" hidden="1"/>
    <cellStyle name="Followed Hyperlink" xfId="2" builtinId="9" hidden="1"/>
    <cellStyle name="Followed Hyperlink" xfId="44" builtinId="9" hidden="1"/>
    <cellStyle name="Followed Hyperlink" xfId="56" builtinId="9" hidden="1"/>
    <cellStyle name="Followed Hyperlink" xfId="30" builtinId="9" hidden="1"/>
    <cellStyle name="Followed Hyperlink" xfId="16" builtinId="9" hidden="1"/>
    <cellStyle name="Followed Hyperlink" xfId="6" builtinId="9" hidden="1"/>
    <cellStyle name="Followed Hyperlink" xfId="62" builtinId="9" hidden="1"/>
    <cellStyle name="Followed Hyperlink" xfId="24" builtinId="9" hidden="1"/>
    <cellStyle name="Followed Hyperlink" xfId="34" builtinId="9" hidden="1"/>
    <cellStyle name="Followed Hyperlink" xfId="78" builtinId="9" hidden="1"/>
    <cellStyle name="Followed Hyperlink" xfId="94" builtinId="9" hidden="1"/>
    <cellStyle name="Hyperlink" xfId="119" builtinId="8" hidden="1"/>
    <cellStyle name="Hyperlink" xfId="121" builtinId="8" hidden="1"/>
    <cellStyle name="Hyperlink" xfId="135" builtinId="8" hidden="1"/>
    <cellStyle name="Hyperlink" xfId="181" builtinId="8" hidden="1"/>
    <cellStyle name="Hyperlink" xfId="169" builtinId="8" hidden="1"/>
    <cellStyle name="Hyperlink" xfId="197" builtinId="8" hidden="1"/>
    <cellStyle name="Hyperlink" xfId="273" builtinId="8" hidden="1"/>
    <cellStyle name="Hyperlink" xfId="263" builtinId="8" hidden="1"/>
    <cellStyle name="Hyperlink" xfId="237" builtinId="8" hidden="1"/>
    <cellStyle name="Hyperlink" xfId="225" builtinId="8" hidden="1"/>
    <cellStyle name="Hyperlink" xfId="213" builtinId="8" hidden="1"/>
    <cellStyle name="Hyperlink" xfId="189" builtinId="8" hidden="1"/>
    <cellStyle name="Hyperlink" xfId="203" builtinId="8" hidden="1"/>
    <cellStyle name="Hyperlink" xfId="63" builtinId="8" hidden="1"/>
    <cellStyle name="Hyperlink" xfId="31" builtinId="8" hidden="1"/>
    <cellStyle name="Hyperlink" xfId="21" builtinId="8" hidden="1"/>
    <cellStyle name="Hyperlink" xfId="79" builtinId="8" hidden="1"/>
    <cellStyle name="Hyperlink" xfId="85" builtinId="8" hidden="1"/>
    <cellStyle name="Hyperlink" xfId="87" builtinId="8" hidden="1"/>
    <cellStyle name="Hyperlink" xfId="95" builtinId="8" hidden="1"/>
    <cellStyle name="Hyperlink" xfId="101" builtinId="8" hidden="1"/>
    <cellStyle name="Hyperlink" xfId="103" builtinId="8" hidden="1"/>
    <cellStyle name="Hyperlink" xfId="105" builtinId="8" hidden="1"/>
    <cellStyle name="Hyperlink" xfId="113" builtinId="8" hidden="1"/>
    <cellStyle name="Hyperlink" xfId="107" builtinId="8" hidden="1"/>
    <cellStyle name="Hyperlink" xfId="91" builtinId="8" hidden="1"/>
    <cellStyle name="Hyperlink" xfId="23" builtinId="8" hidden="1"/>
    <cellStyle name="Hyperlink" xfId="25" builtinId="8" hidden="1"/>
    <cellStyle name="Hyperlink" xfId="29" builtinId="8" hidden="1"/>
    <cellStyle name="Hyperlink" xfId="37" builtinId="8" hidden="1"/>
    <cellStyle name="Hyperlink" xfId="41" builtinId="8" hidden="1"/>
    <cellStyle name="Hyperlink" xfId="43" builtinId="8" hidden="1"/>
    <cellStyle name="Hyperlink" xfId="49" builtinId="8" hidden="1"/>
    <cellStyle name="Hyperlink" xfId="27" builtinId="8" hidden="1"/>
    <cellStyle name="Hyperlink" xfId="11" builtinId="8" hidden="1"/>
    <cellStyle name="Hyperlink" xfId="19" builtinId="8" hidden="1"/>
    <cellStyle name="Hyperlink" xfId="5" builtinId="8" hidden="1"/>
    <cellStyle name="Hyperlink" xfId="7" builtinId="8" hidden="1"/>
    <cellStyle name="Hyperlink" xfId="15" builtinId="8" hidden="1"/>
    <cellStyle name="Hyperlink" xfId="35" builtinId="8" hidden="1"/>
    <cellStyle name="Hyperlink" xfId="115" builtinId="8" hidden="1"/>
    <cellStyle name="Hyperlink" xfId="163" builtinId="8" hidden="1"/>
    <cellStyle name="Hyperlink" xfId="155" builtinId="8" hidden="1"/>
    <cellStyle name="Hyperlink" xfId="131" builtinId="8" hidden="1"/>
    <cellStyle name="Hyperlink" xfId="51" builtinId="8" hidden="1"/>
    <cellStyle name="Hyperlink" xfId="55" builtinId="8" hidden="1"/>
    <cellStyle name="Hyperlink" xfId="57" builtinId="8" hidden="1"/>
    <cellStyle name="Hyperlink" xfId="65" builtinId="8" hidden="1"/>
    <cellStyle name="Hyperlink" xfId="67" builtinId="8" hidden="1"/>
    <cellStyle name="Hyperlink" xfId="69" builtinId="8" hidden="1"/>
    <cellStyle name="Hyperlink" xfId="77" builtinId="8" hidden="1"/>
    <cellStyle name="Hyperlink" xfId="147" builtinId="8" hidden="1"/>
    <cellStyle name="Hyperlink" xfId="227" builtinId="8" hidden="1"/>
    <cellStyle name="Hyperlink" xfId="211" builtinId="8" hidden="1"/>
    <cellStyle name="Hyperlink" xfId="195" builtinId="8" hidden="1"/>
    <cellStyle name="Hyperlink" xfId="187" builtinId="8" hidden="1"/>
    <cellStyle name="Hyperlink" xfId="259" builtinId="8" hidden="1"/>
    <cellStyle name="Hyperlink" xfId="251" builtinId="8" hidden="1"/>
    <cellStyle name="Hyperlink" xfId="243" builtinId="8" hidden="1"/>
    <cellStyle name="Hyperlink" xfId="277" builtinId="8" hidden="1"/>
    <cellStyle name="Hyperlink" xfId="275" builtinId="8" hidden="1"/>
    <cellStyle name="Hyperlink" xfId="179" builtinId="8" hidden="1"/>
    <cellStyle name="Hyperlink" xfId="219" builtinId="8" hidden="1"/>
    <cellStyle name="Hyperlink" xfId="73" builtinId="8" hidden="1"/>
    <cellStyle name="Hyperlink" xfId="61" builtinId="8" hidden="1"/>
    <cellStyle name="Hyperlink" xfId="123" builtinId="8" hidden="1"/>
    <cellStyle name="Hyperlink" xfId="93" builtinId="8" hidden="1"/>
    <cellStyle name="Hyperlink" xfId="9" builtinId="8" hidden="1"/>
    <cellStyle name="Hyperlink" xfId="17" builtinId="8" hidden="1"/>
    <cellStyle name="Hyperlink" xfId="45" builtinId="8" hidden="1"/>
    <cellStyle name="Hyperlink" xfId="33" builtinId="8" hidden="1"/>
    <cellStyle name="Hyperlink" xfId="75" builtinId="8" hidden="1"/>
    <cellStyle name="Hyperlink" xfId="111" builtinId="8" hidden="1"/>
    <cellStyle name="Hyperlink" xfId="97" builtinId="8" hidden="1"/>
    <cellStyle name="Hyperlink" xfId="83" builtinId="8" hidden="1"/>
    <cellStyle name="Hyperlink" xfId="99" builtinId="8" hidden="1"/>
    <cellStyle name="Hyperlink" xfId="201" builtinId="8" hidden="1"/>
    <cellStyle name="Hyperlink" xfId="249" builtinId="8" hidden="1"/>
    <cellStyle name="Hyperlink" xfId="159" builtinId="8" hidden="1"/>
    <cellStyle name="Hyperlink" xfId="145" builtinId="8" hidden="1"/>
    <cellStyle name="Hyperlink" xfId="223" builtinId="8" hidden="1"/>
    <cellStyle name="Hyperlink" xfId="229" builtinId="8" hidden="1"/>
    <cellStyle name="Hyperlink" xfId="231" builtinId="8" hidden="1"/>
    <cellStyle name="Hyperlink" xfId="233" builtinId="8" hidden="1"/>
    <cellStyle name="Hyperlink" xfId="245" builtinId="8" hidden="1"/>
    <cellStyle name="Hyperlink" xfId="247" builtinId="8" hidden="1"/>
    <cellStyle name="Hyperlink" xfId="253" builtinId="8" hidden="1"/>
    <cellStyle name="Hyperlink" xfId="255" builtinId="8" hidden="1"/>
    <cellStyle name="Hyperlink" xfId="257" builtinId="8" hidden="1"/>
    <cellStyle name="Hyperlink" xfId="265" builtinId="8" hidden="1"/>
    <cellStyle name="Hyperlink" xfId="269" builtinId="8" hidden="1"/>
    <cellStyle name="Hyperlink" xfId="261" builtinId="8" hidden="1"/>
    <cellStyle name="Hyperlink" xfId="239" builtinId="8" hidden="1"/>
    <cellStyle name="Hyperlink" xfId="217" builtinId="8" hidden="1"/>
    <cellStyle name="Hyperlink" xfId="149" builtinId="8" hidden="1"/>
    <cellStyle name="Hyperlink" xfId="151" builtinId="8" hidden="1"/>
    <cellStyle name="Hyperlink" xfId="157" builtinId="8" hidden="1"/>
    <cellStyle name="Hyperlink" xfId="161" builtinId="8" hidden="1"/>
    <cellStyle name="Hyperlink" xfId="167" builtinId="8" hidden="1"/>
    <cellStyle name="Hyperlink" xfId="173" builtinId="8" hidden="1"/>
    <cellStyle name="Hyperlink" xfId="175" builtinId="8" hidden="1"/>
    <cellStyle name="Hyperlink" xfId="177" builtinId="8" hidden="1"/>
    <cellStyle name="Hyperlink" xfId="183" builtinId="8" hidden="1"/>
    <cellStyle name="Hyperlink" xfId="153" builtinId="8" hidden="1"/>
    <cellStyle name="Hyperlink" xfId="133" builtinId="8" hidden="1"/>
    <cellStyle name="Hyperlink" xfId="141" builtinId="8" hidden="1"/>
    <cellStyle name="Hyperlink" xfId="14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7" builtinId="8" hidden="1"/>
    <cellStyle name="Hyperlink" xfId="165" builtinId="8" hidden="1"/>
    <cellStyle name="Hyperlink" xfId="271" builtinId="8" hidden="1"/>
    <cellStyle name="Hyperlink" xfId="241" builtinId="8" hidden="1"/>
    <cellStyle name="Hyperlink" xfId="53" builtinId="8" hidden="1"/>
    <cellStyle name="Hyperlink" xfId="139" builtinId="8" hidden="1"/>
    <cellStyle name="Hyperlink" xfId="235" builtinId="8" hidden="1"/>
    <cellStyle name="Hyperlink" xfId="267" builtinId="8" hidden="1"/>
    <cellStyle name="Hyperlink" xfId="185" builtinId="8" hidden="1"/>
    <cellStyle name="Hyperlink" xfId="191" builtinId="8" hidden="1"/>
    <cellStyle name="Hyperlink" xfId="193" builtinId="8" hidden="1"/>
    <cellStyle name="Hyperlink" xfId="199" builtinId="8" hidden="1"/>
    <cellStyle name="Hyperlink" xfId="205" builtinId="8" hidden="1"/>
    <cellStyle name="Hyperlink" xfId="207" builtinId="8" hidden="1"/>
    <cellStyle name="Hyperlink" xfId="209" builtinId="8" hidden="1"/>
    <cellStyle name="Hyperlink" xfId="215" builtinId="8" hidden="1"/>
    <cellStyle name="Hyperlink" xfId="221" builtinId="8" hidden="1"/>
    <cellStyle name="Hyperlink" xfId="171" builtinId="8" hidden="1"/>
    <cellStyle name="Hyperlink" xfId="59" builtinId="8" hidden="1"/>
    <cellStyle name="Hyperlink" xfId="117" builtinId="8" hidden="1"/>
    <cellStyle name="Hyperlink" xfId="109" builtinId="8" hidden="1"/>
    <cellStyle name="Hyperlink" xfId="89" builtinId="8" hidden="1"/>
    <cellStyle name="Hyperlink" xfId="81" builtinId="8" hidden="1"/>
    <cellStyle name="Hyperlink" xfId="71" builtinId="8" hidden="1"/>
    <cellStyle name="Hyperlink" xfId="13" builtinId="8" hidden="1"/>
    <cellStyle name="Hyperlink" xfId="47" builtinId="8" hidden="1"/>
    <cellStyle name="Hyperlink" xfId="39" builtinId="8" hidden="1"/>
    <cellStyle name="Hyperlink" xfId="3" builtinId="8" hidden="1"/>
    <cellStyle name="Hyperlink" xfId="1" builtinId="8" hidden="1"/>
    <cellStyle name="Hyperlink" xfId="279" builtinId="8"/>
    <cellStyle name="Normal" xfId="0" builtinId="0"/>
  </cellStyles>
  <dxfs count="33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7F3FCC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F3FCC"/>
        </patternFill>
      </fill>
    </dxf>
    <dxf>
      <fill>
        <patternFill>
          <bgColor rgb="FF7F3FCC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7F3FCC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rgb="FF00B050"/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rgb="FF00B050"/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rgb="FF00B050"/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fgColor rgb="FF00B050"/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3F7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Medium4"/>
  <colors>
    <mruColors>
      <color rgb="FFF3F7FF"/>
      <color rgb="FF7F3FCC"/>
      <color rgb="FFF9FDFA"/>
      <color rgb="FFE6FD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342900</xdr:colOff>
          <xdr:row>43</xdr:row>
          <xdr:rowOff>0</xdr:rowOff>
        </xdr:from>
        <xdr:to>
          <xdr:col>0</xdr:col>
          <xdr:colOff>1866900</xdr:colOff>
          <xdr:row>43</xdr:row>
          <xdr:rowOff>152400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GB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Check hazard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889000</xdr:colOff>
          <xdr:row>8</xdr:row>
          <xdr:rowOff>114300</xdr:rowOff>
        </xdr:from>
        <xdr:to>
          <xdr:col>11</xdr:col>
          <xdr:colOff>76200</xdr:colOff>
          <xdr:row>11</xdr:row>
          <xdr:rowOff>165100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GB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Export sheet </a:t>
              </a:r>
            </a:p>
            <a:p>
              <a:pPr algn="ctr" rtl="0">
                <a:defRPr sz="1000"/>
              </a:pPr>
              <a:r>
                <a:rPr lang="en-GB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to new file</a:t>
              </a:r>
            </a:p>
          </xdr:txBody>
        </xdr:sp>
        <xdr:clientData fPrintsWithSheet="0"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389101-1C74-484A-BD0B-81695F3698C7}" name="Table1" displayName="Table1" ref="A1:A5" totalsRowShown="0">
  <autoFilter ref="A1:A5" xr:uid="{8D389101-1C74-484A-BD0B-81695F3698C7}"/>
  <tableColumns count="1">
    <tableColumn id="1" xr3:uid="{DE2625FC-65D2-334A-9CAB-0CB12C5B210C}" name="Mutation ent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toxnet.nlm.nih.gov/cgi-bin/sis/htmlgen?HSDB" TargetMode="External"/><Relationship Id="rId13" Type="http://schemas.openxmlformats.org/officeDocument/2006/relationships/hyperlink" Target="file:///var/folders/_k/bkfyrth50_s35ywj3s36hy700000gp/T/Templates/databases/grandjean.pdf" TargetMode="External"/><Relationship Id="rId18" Type="http://schemas.openxmlformats.org/officeDocument/2006/relationships/hyperlink" Target="http://echa.europa.eu/addressing-chemicals-of-concern/restrictions/list-of-restrictions" TargetMode="External"/><Relationship Id="rId26" Type="http://schemas.openxmlformats.org/officeDocument/2006/relationships/ctrlProp" Target="../ctrlProps/ctrlProp2.xml"/><Relationship Id="rId3" Type="http://schemas.openxmlformats.org/officeDocument/2006/relationships/hyperlink" Target="http://echa.europa.eu/web/guest/information-on-chemicals/registered-substances" TargetMode="External"/><Relationship Id="rId21" Type="http://schemas.openxmlformats.org/officeDocument/2006/relationships/hyperlink" Target="https://www.pharosproject.net/" TargetMode="External"/><Relationship Id="rId7" Type="http://schemas.openxmlformats.org/officeDocument/2006/relationships/hyperlink" Target="http://onlinelibrary.wiley.com/book/10.1002/9783527666034" TargetMode="External"/><Relationship Id="rId12" Type="http://schemas.openxmlformats.org/officeDocument/2006/relationships/hyperlink" Target="http://www.epa.gov/hpvis/" TargetMode="External"/><Relationship Id="rId17" Type="http://schemas.openxmlformats.org/officeDocument/2006/relationships/hyperlink" Target="http://webrigoletto.uba.de/rigoletto/public/searchRequest.do?event=request" TargetMode="External"/><Relationship Id="rId25" Type="http://schemas.openxmlformats.org/officeDocument/2006/relationships/ctrlProp" Target="../ctrlProps/ctrlProp1.xml"/><Relationship Id="rId2" Type="http://schemas.openxmlformats.org/officeDocument/2006/relationships/hyperlink" Target="http://cfpub.epa.gov/ecotox/" TargetMode="External"/><Relationship Id="rId16" Type="http://schemas.openxmlformats.org/officeDocument/2006/relationships/hyperlink" Target="http://www.epa.gov/ozone/geninfo/gwps.html" TargetMode="External"/><Relationship Id="rId20" Type="http://schemas.openxmlformats.org/officeDocument/2006/relationships/hyperlink" Target="http://chm.pops.int/Convention/ThePOPs/ListingofPOPs/tabid/2509/Default.aspx" TargetMode="External"/><Relationship Id="rId1" Type="http://schemas.openxmlformats.org/officeDocument/2006/relationships/hyperlink" Target="http://www.inchem.org/" TargetMode="External"/><Relationship Id="rId6" Type="http://schemas.openxmlformats.org/officeDocument/2006/relationships/hyperlink" Target="https://monographs.iarc.fr/list-of-classifications" TargetMode="External"/><Relationship Id="rId11" Type="http://schemas.openxmlformats.org/officeDocument/2006/relationships/hyperlink" Target="file:///var/folders/_k/bkfyrth50_s35ywj3s36hy700000gp/T/Templates/databases/EPA_mundy_list%20.xlsx" TargetMode="External"/><Relationship Id="rId24" Type="http://schemas.openxmlformats.org/officeDocument/2006/relationships/vmlDrawing" Target="../drawings/vmlDrawing1.vml"/><Relationship Id="rId5" Type="http://schemas.openxmlformats.org/officeDocument/2006/relationships/hyperlink" Target="http://echa.europa.eu/ja/regulations/clp/cl-inventory" TargetMode="External"/><Relationship Id="rId15" Type="http://schemas.openxmlformats.org/officeDocument/2006/relationships/hyperlink" Target="http://www.grida.no/publications/other/ipcc_tar/?src=/climate/ipcc_tar/wg1/248.htm" TargetMode="External"/><Relationship Id="rId23" Type="http://schemas.openxmlformats.org/officeDocument/2006/relationships/drawing" Target="../drawings/drawing1.xml"/><Relationship Id="rId10" Type="http://schemas.openxmlformats.org/officeDocument/2006/relationships/hyperlink" Target="http://oehha.ca.gov/prop65/prop65_list/newlist.html" TargetMode="External"/><Relationship Id="rId19" Type="http://schemas.openxmlformats.org/officeDocument/2006/relationships/hyperlink" Target="http://echa.europa.eu/nl/candidate-list-table" TargetMode="External"/><Relationship Id="rId4" Type="http://schemas.openxmlformats.org/officeDocument/2006/relationships/hyperlink" Target="https://www.echemportal.org/echemportal/substance-search" TargetMode="External"/><Relationship Id="rId9" Type="http://schemas.openxmlformats.org/officeDocument/2006/relationships/hyperlink" Target="http://www.ourstolenfuture.com/Basics/chemlist.htm" TargetMode="External"/><Relationship Id="rId14" Type="http://schemas.openxmlformats.org/officeDocument/2006/relationships/hyperlink" Target="http://www.epa.gov/ozone/science/ods/index.html" TargetMode="External"/><Relationship Id="rId22" Type="http://schemas.openxmlformats.org/officeDocument/2006/relationships/hyperlink" Target="https://echa.europa.eu/information-on-chemical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E72AE-CBA2-B846-951A-8CFD1023732A}">
  <sheetPr codeName="Sheet2">
    <pageSetUpPr fitToPage="1"/>
  </sheetPr>
  <dimension ref="A1:L212"/>
  <sheetViews>
    <sheetView tabSelected="1" topLeftCell="A17" workbookViewId="0">
      <selection activeCell="C39" sqref="C39"/>
    </sheetView>
  </sheetViews>
  <sheetFormatPr baseColWidth="10" defaultColWidth="11" defaultRowHeight="16" x14ac:dyDescent="0.2"/>
  <cols>
    <col min="1" max="1" width="37.83203125" bestFit="1" customWidth="1"/>
    <col min="2" max="2" width="40.6640625" style="17" customWidth="1"/>
    <col min="3" max="3" width="23.6640625" customWidth="1"/>
    <col min="4" max="4" width="10.83203125" customWidth="1"/>
    <col min="5" max="5" width="6.83203125" customWidth="1"/>
    <col min="6" max="6" width="26.83203125" customWidth="1"/>
    <col min="7" max="7" width="5.6640625" customWidth="1"/>
    <col min="8" max="8" width="19.33203125" customWidth="1"/>
    <col min="9" max="9" width="11.1640625" customWidth="1"/>
    <col min="10" max="10" width="12.83203125" customWidth="1"/>
    <col min="11" max="11" width="17.83203125" customWidth="1"/>
    <col min="12" max="12" width="17" customWidth="1"/>
  </cols>
  <sheetData>
    <row r="1" spans="1:12" x14ac:dyDescent="0.2">
      <c r="A1" s="2" t="s">
        <v>0</v>
      </c>
      <c r="B1" s="16"/>
      <c r="C1" s="3"/>
      <c r="D1" s="3"/>
      <c r="F1" s="3"/>
      <c r="G1" s="3"/>
      <c r="H1" s="3"/>
    </row>
    <row r="3" spans="1:12" x14ac:dyDescent="0.2">
      <c r="A3" s="7" t="s">
        <v>1</v>
      </c>
      <c r="B3" s="35"/>
      <c r="C3" s="7"/>
      <c r="D3" s="7"/>
      <c r="E3" s="7"/>
      <c r="F3" s="7"/>
      <c r="G3" s="7"/>
      <c r="H3" s="7"/>
      <c r="I3" s="7"/>
      <c r="J3" s="7"/>
      <c r="K3" s="7"/>
    </row>
    <row r="4" spans="1:12" x14ac:dyDescent="0.2">
      <c r="A4" s="2"/>
    </row>
    <row r="5" spans="1:12" x14ac:dyDescent="0.2">
      <c r="A5" s="3" t="s">
        <v>2</v>
      </c>
      <c r="B5" s="16" t="s">
        <v>3</v>
      </c>
      <c r="C5" s="16" t="s">
        <v>4</v>
      </c>
      <c r="D5" s="3"/>
      <c r="F5" s="3" t="s">
        <v>5</v>
      </c>
      <c r="G5" s="3"/>
      <c r="H5" s="3" t="s">
        <v>6</v>
      </c>
      <c r="I5" s="3" t="s">
        <v>177</v>
      </c>
      <c r="J5" s="3"/>
      <c r="K5" s="3" t="s">
        <v>176</v>
      </c>
      <c r="L5" s="3"/>
    </row>
    <row r="6" spans="1:12" ht="16" customHeight="1" x14ac:dyDescent="0.2">
      <c r="A6" t="s">
        <v>219</v>
      </c>
      <c r="B6" s="95" t="s">
        <v>218</v>
      </c>
      <c r="C6" s="95" t="s">
        <v>217</v>
      </c>
      <c r="D6" s="95"/>
      <c r="F6" s="34" t="s">
        <v>216</v>
      </c>
      <c r="G6" s="3"/>
      <c r="H6" t="s">
        <v>215</v>
      </c>
      <c r="I6" s="78">
        <v>45902</v>
      </c>
      <c r="J6" s="3"/>
      <c r="L6" s="3"/>
    </row>
    <row r="7" spans="1:12" x14ac:dyDescent="0.2">
      <c r="B7" s="95"/>
      <c r="C7" s="95"/>
      <c r="D7" s="95"/>
      <c r="F7" s="34"/>
      <c r="I7" s="14"/>
      <c r="J7" s="1"/>
    </row>
    <row r="8" spans="1:12" x14ac:dyDescent="0.2">
      <c r="B8" s="70" t="s">
        <v>7</v>
      </c>
      <c r="C8" s="15"/>
      <c r="F8" s="34"/>
      <c r="I8" s="14"/>
      <c r="J8" s="1"/>
    </row>
    <row r="9" spans="1:12" x14ac:dyDescent="0.2">
      <c r="C9" s="15"/>
      <c r="F9" s="34"/>
      <c r="I9" s="14"/>
      <c r="J9" s="1"/>
    </row>
    <row r="10" spans="1:12" x14ac:dyDescent="0.2">
      <c r="C10" s="15"/>
      <c r="E10" s="17"/>
      <c r="F10" s="34"/>
      <c r="I10" s="14"/>
      <c r="J10" s="1"/>
    </row>
    <row r="11" spans="1:12" x14ac:dyDescent="0.2">
      <c r="C11" s="15"/>
      <c r="D11" s="11"/>
      <c r="F11" s="34"/>
      <c r="I11" s="14"/>
      <c r="J11" s="1"/>
    </row>
    <row r="12" spans="1:12" x14ac:dyDescent="0.2">
      <c r="E12" s="11"/>
      <c r="F12" s="34"/>
      <c r="I12" s="1"/>
      <c r="J12" s="1"/>
      <c r="K12" s="1"/>
    </row>
    <row r="13" spans="1:12" ht="51" customHeight="1" x14ac:dyDescent="0.2">
      <c r="C13" s="4"/>
      <c r="F13" s="34"/>
    </row>
    <row r="14" spans="1:12" x14ac:dyDescent="0.2">
      <c r="A14" s="7" t="s">
        <v>8</v>
      </c>
      <c r="B14" s="35"/>
      <c r="C14" s="7"/>
      <c r="D14" s="7"/>
      <c r="E14" s="7"/>
      <c r="F14" s="7"/>
      <c r="G14" s="7"/>
      <c r="H14" s="7"/>
      <c r="I14" s="7"/>
      <c r="J14" s="7"/>
      <c r="K14" s="7"/>
    </row>
    <row r="16" spans="1:12" x14ac:dyDescent="0.2">
      <c r="A16" s="5" t="s">
        <v>9</v>
      </c>
      <c r="B16" s="126" t="s">
        <v>10</v>
      </c>
      <c r="C16" s="127"/>
      <c r="D16" s="127"/>
      <c r="E16" s="127"/>
      <c r="F16" s="127"/>
      <c r="G16" s="128"/>
      <c r="H16" s="116" t="s">
        <v>11</v>
      </c>
      <c r="I16" s="117"/>
      <c r="J16" s="6" t="s">
        <v>12</v>
      </c>
      <c r="K16" s="5" t="s">
        <v>13</v>
      </c>
      <c r="L16" s="5" t="s">
        <v>14</v>
      </c>
    </row>
    <row r="17" spans="1:12" x14ac:dyDescent="0.2">
      <c r="A17" s="41" t="s">
        <v>15</v>
      </c>
      <c r="B17" s="42"/>
      <c r="C17" s="43"/>
      <c r="D17" s="43"/>
      <c r="E17" s="43"/>
      <c r="F17" s="43"/>
      <c r="G17" s="44"/>
      <c r="H17" s="45"/>
      <c r="I17" s="44"/>
      <c r="J17" s="44"/>
      <c r="K17" s="46"/>
      <c r="L17" s="46"/>
    </row>
    <row r="18" spans="1:12" x14ac:dyDescent="0.2">
      <c r="A18" s="27" t="s">
        <v>16</v>
      </c>
      <c r="B18" s="70" t="s">
        <v>17</v>
      </c>
      <c r="C18" s="119" t="s">
        <v>180</v>
      </c>
      <c r="D18" s="120"/>
      <c r="E18" s="120"/>
      <c r="F18" s="121"/>
      <c r="H18" s="29"/>
      <c r="I18" s="30"/>
      <c r="J18" s="27"/>
      <c r="K18" s="129"/>
      <c r="L18" s="107"/>
    </row>
    <row r="19" spans="1:12" x14ac:dyDescent="0.2">
      <c r="A19" s="8"/>
      <c r="B19" s="70" t="s">
        <v>18</v>
      </c>
      <c r="C19" s="119" t="s">
        <v>179</v>
      </c>
      <c r="D19" s="120"/>
      <c r="E19" s="120"/>
      <c r="F19" s="121"/>
      <c r="H19" s="32"/>
      <c r="I19" s="9"/>
      <c r="J19" s="8"/>
      <c r="K19" s="109"/>
      <c r="L19" s="107"/>
    </row>
    <row r="20" spans="1:12" x14ac:dyDescent="0.2">
      <c r="A20" s="8"/>
      <c r="B20" s="70" t="s">
        <v>19</v>
      </c>
      <c r="C20" s="119" t="s">
        <v>186</v>
      </c>
      <c r="D20" s="120"/>
      <c r="E20" s="120"/>
      <c r="F20" s="121"/>
      <c r="H20" s="32"/>
      <c r="I20" s="9"/>
      <c r="J20" s="8"/>
      <c r="K20" s="109"/>
      <c r="L20" s="107"/>
    </row>
    <row r="21" spans="1:12" x14ac:dyDescent="0.2">
      <c r="A21" s="8"/>
      <c r="B21" s="70" t="s">
        <v>20</v>
      </c>
      <c r="C21" s="119" t="s">
        <v>185</v>
      </c>
      <c r="D21" s="120"/>
      <c r="E21" s="120"/>
      <c r="F21" s="121"/>
      <c r="H21" s="32"/>
      <c r="I21" s="9"/>
      <c r="J21" s="8"/>
      <c r="K21" s="109"/>
      <c r="L21" s="107"/>
    </row>
    <row r="22" spans="1:12" x14ac:dyDescent="0.2">
      <c r="A22" s="8"/>
      <c r="B22" s="70" t="s">
        <v>21</v>
      </c>
      <c r="C22" s="70" t="s">
        <v>184</v>
      </c>
      <c r="D22" s="70"/>
      <c r="E22" s="70"/>
      <c r="F22" s="70"/>
      <c r="I22" s="9"/>
      <c r="J22" s="8"/>
      <c r="K22" s="93"/>
      <c r="L22" s="82"/>
    </row>
    <row r="23" spans="1:12" x14ac:dyDescent="0.2">
      <c r="A23" s="8"/>
      <c r="B23" s="70"/>
      <c r="C23" s="70"/>
      <c r="D23" s="70"/>
      <c r="E23" s="70"/>
      <c r="F23" s="70"/>
      <c r="I23" s="9"/>
      <c r="J23" s="8"/>
      <c r="K23" s="93"/>
      <c r="L23" s="82"/>
    </row>
    <row r="24" spans="1:12" ht="8" customHeight="1" x14ac:dyDescent="0.2">
      <c r="A24" s="47"/>
      <c r="B24" s="48"/>
      <c r="C24" s="48"/>
      <c r="D24" s="48"/>
      <c r="E24" s="48"/>
      <c r="F24" s="48"/>
      <c r="G24" s="49"/>
      <c r="H24" s="48"/>
      <c r="I24" s="49"/>
      <c r="J24" s="47"/>
      <c r="K24" s="56"/>
      <c r="L24" s="59"/>
    </row>
    <row r="25" spans="1:12" x14ac:dyDescent="0.2">
      <c r="A25" s="8" t="s">
        <v>22</v>
      </c>
      <c r="B25" s="70" t="s">
        <v>23</v>
      </c>
      <c r="C25" s="119" t="s">
        <v>181</v>
      </c>
      <c r="D25" s="120"/>
      <c r="E25" s="120"/>
      <c r="F25" s="121"/>
      <c r="H25" s="32"/>
      <c r="I25" s="9"/>
      <c r="J25" s="8"/>
      <c r="K25" s="124"/>
      <c r="L25" s="107"/>
    </row>
    <row r="26" spans="1:12" x14ac:dyDescent="0.2">
      <c r="A26" s="8"/>
      <c r="B26" s="70" t="s">
        <v>24</v>
      </c>
      <c r="C26" s="119" t="s">
        <v>182</v>
      </c>
      <c r="D26" s="120"/>
      <c r="E26" s="120"/>
      <c r="F26" s="121"/>
      <c r="H26" s="32"/>
      <c r="I26" s="9"/>
      <c r="J26" s="8"/>
      <c r="K26" s="124"/>
      <c r="L26" s="107"/>
    </row>
    <row r="27" spans="1:12" x14ac:dyDescent="0.2">
      <c r="A27" s="8"/>
      <c r="B27" s="70" t="s">
        <v>25</v>
      </c>
      <c r="C27" t="s">
        <v>183</v>
      </c>
      <c r="H27" s="32"/>
      <c r="I27" s="9"/>
      <c r="J27" s="8"/>
      <c r="K27" s="124"/>
      <c r="L27" s="107"/>
    </row>
    <row r="28" spans="1:12" x14ac:dyDescent="0.2">
      <c r="A28" s="8"/>
      <c r="H28" s="32"/>
      <c r="I28" s="9"/>
      <c r="J28" s="8"/>
      <c r="K28" s="109"/>
      <c r="L28" s="107"/>
    </row>
    <row r="29" spans="1:12" ht="8" customHeight="1" x14ac:dyDescent="0.2">
      <c r="A29" s="50"/>
      <c r="B29" s="51"/>
      <c r="C29" s="48"/>
      <c r="D29" s="48"/>
      <c r="E29" s="48"/>
      <c r="F29" s="48"/>
      <c r="G29" s="49"/>
      <c r="H29" s="50"/>
      <c r="I29" s="49"/>
      <c r="J29" s="49"/>
      <c r="K29" s="57"/>
      <c r="L29" s="60"/>
    </row>
    <row r="30" spans="1:12" ht="16" customHeight="1" x14ac:dyDescent="0.2">
      <c r="A30" s="9" t="s">
        <v>26</v>
      </c>
      <c r="B30" s="70" t="s">
        <v>27</v>
      </c>
      <c r="C30" s="119" t="s">
        <v>225</v>
      </c>
      <c r="D30" s="120"/>
      <c r="E30" s="120"/>
      <c r="F30" s="121"/>
      <c r="H30" s="32"/>
      <c r="I30" s="9"/>
      <c r="J30" s="8"/>
      <c r="K30" s="125"/>
      <c r="L30" s="107"/>
    </row>
    <row r="31" spans="1:12" ht="16" customHeight="1" thickBot="1" x14ac:dyDescent="0.25">
      <c r="B31" s="70" t="s">
        <v>28</v>
      </c>
      <c r="C31" s="119" t="s">
        <v>226</v>
      </c>
      <c r="D31" s="120"/>
      <c r="E31" s="120"/>
      <c r="F31" s="121"/>
      <c r="H31" s="32"/>
      <c r="I31" s="9"/>
      <c r="J31" s="8"/>
      <c r="K31" s="125"/>
      <c r="L31" s="107"/>
    </row>
    <row r="32" spans="1:12" ht="17" thickBot="1" x14ac:dyDescent="0.25">
      <c r="A32" s="76" t="s">
        <v>29</v>
      </c>
      <c r="B32" s="70" t="s">
        <v>30</v>
      </c>
      <c r="C32" s="83" t="s">
        <v>220</v>
      </c>
      <c r="D32" s="87"/>
      <c r="E32" s="84"/>
      <c r="F32" s="53" t="s">
        <v>227</v>
      </c>
      <c r="H32" s="32"/>
      <c r="I32" s="9"/>
      <c r="J32" s="8"/>
      <c r="K32" s="124"/>
      <c r="L32" s="107"/>
    </row>
    <row r="33" spans="1:12" x14ac:dyDescent="0.2">
      <c r="A33" s="94"/>
      <c r="B33" s="70" t="s">
        <v>30</v>
      </c>
      <c r="C33" s="83" t="s">
        <v>220</v>
      </c>
      <c r="D33" s="87"/>
      <c r="E33" s="84"/>
      <c r="F33" s="53" t="s">
        <v>228</v>
      </c>
      <c r="H33" s="32"/>
      <c r="I33" s="9"/>
      <c r="J33" s="8"/>
      <c r="K33" s="124"/>
      <c r="L33" s="107"/>
    </row>
    <row r="34" spans="1:12" x14ac:dyDescent="0.2">
      <c r="A34" s="94"/>
      <c r="B34" s="70" t="s">
        <v>30</v>
      </c>
      <c r="C34" s="83" t="s">
        <v>221</v>
      </c>
      <c r="D34" s="87"/>
      <c r="E34" s="84"/>
      <c r="F34" s="53" t="s">
        <v>228</v>
      </c>
      <c r="H34" s="32"/>
      <c r="I34" s="9"/>
      <c r="J34" s="8"/>
      <c r="K34" s="124"/>
      <c r="L34" s="107"/>
    </row>
    <row r="35" spans="1:12" x14ac:dyDescent="0.2">
      <c r="A35" s="94"/>
      <c r="B35" s="70" t="s">
        <v>30</v>
      </c>
      <c r="C35" s="83" t="s">
        <v>221</v>
      </c>
      <c r="D35" s="87"/>
      <c r="E35" s="84"/>
      <c r="F35" s="53" t="s">
        <v>228</v>
      </c>
      <c r="H35" s="32"/>
      <c r="I35" s="9"/>
      <c r="J35" s="8"/>
      <c r="K35" s="124"/>
      <c r="L35" s="107"/>
    </row>
    <row r="36" spans="1:12" x14ac:dyDescent="0.2">
      <c r="A36" s="94"/>
      <c r="B36" s="70" t="s">
        <v>30</v>
      </c>
      <c r="C36" s="83" t="s">
        <v>222</v>
      </c>
      <c r="D36" s="87"/>
      <c r="E36" s="84"/>
      <c r="F36" s="53" t="s">
        <v>227</v>
      </c>
      <c r="H36" s="32"/>
      <c r="I36" s="9"/>
      <c r="J36" s="8"/>
      <c r="K36" s="124"/>
      <c r="L36" s="107"/>
    </row>
    <row r="37" spans="1:12" x14ac:dyDescent="0.2">
      <c r="A37" s="94"/>
      <c r="B37" s="70" t="s">
        <v>30</v>
      </c>
      <c r="C37" s="83" t="s">
        <v>223</v>
      </c>
      <c r="D37" s="87"/>
      <c r="E37" s="84"/>
      <c r="F37" s="53" t="s">
        <v>227</v>
      </c>
      <c r="H37" s="32"/>
      <c r="I37" s="9"/>
      <c r="J37" s="8"/>
      <c r="K37" s="124"/>
      <c r="L37" s="107"/>
    </row>
    <row r="38" spans="1:12" x14ac:dyDescent="0.2">
      <c r="A38" s="94"/>
      <c r="B38" s="70" t="s">
        <v>30</v>
      </c>
      <c r="C38" s="83" t="s">
        <v>224</v>
      </c>
      <c r="D38" s="87"/>
      <c r="E38" s="84"/>
      <c r="F38" s="53" t="s">
        <v>228</v>
      </c>
      <c r="H38" s="32"/>
      <c r="I38" s="9"/>
      <c r="J38" s="8"/>
      <c r="K38" s="124"/>
      <c r="L38" s="107"/>
    </row>
    <row r="39" spans="1:12" x14ac:dyDescent="0.2">
      <c r="A39" s="8"/>
      <c r="B39" s="70" t="s">
        <v>31</v>
      </c>
      <c r="C39" s="83" t="s">
        <v>235</v>
      </c>
      <c r="D39" s="87"/>
      <c r="E39" s="84"/>
      <c r="F39" s="53" t="s">
        <v>228</v>
      </c>
      <c r="H39" s="32"/>
      <c r="I39" s="9"/>
      <c r="J39" s="8"/>
      <c r="K39" s="124"/>
      <c r="L39" s="107"/>
    </row>
    <row r="40" spans="1:12" x14ac:dyDescent="0.2">
      <c r="A40" s="9"/>
      <c r="B40" s="70" t="s">
        <v>31</v>
      </c>
      <c r="C40" s="83" t="s">
        <v>223</v>
      </c>
      <c r="D40" s="87"/>
      <c r="E40" s="84"/>
      <c r="F40" s="53" t="s">
        <v>228</v>
      </c>
      <c r="H40" s="32"/>
      <c r="I40" s="9"/>
      <c r="J40" s="8"/>
      <c r="K40" s="124"/>
      <c r="L40" s="107"/>
    </row>
    <row r="41" spans="1:12" x14ac:dyDescent="0.2">
      <c r="A41" s="9"/>
      <c r="B41" s="70" t="s">
        <v>31</v>
      </c>
      <c r="C41" s="83" t="s">
        <v>236</v>
      </c>
      <c r="D41" s="87"/>
      <c r="E41" s="84"/>
      <c r="F41" s="53" t="s">
        <v>227</v>
      </c>
      <c r="H41" s="32"/>
      <c r="I41" s="9"/>
      <c r="J41" s="8"/>
      <c r="K41" s="124"/>
      <c r="L41" s="107"/>
    </row>
    <row r="42" spans="1:12" x14ac:dyDescent="0.2">
      <c r="A42" s="9"/>
      <c r="B42" s="70" t="s">
        <v>31</v>
      </c>
      <c r="C42" s="83"/>
      <c r="D42" s="87"/>
      <c r="E42" s="84"/>
      <c r="F42" s="53"/>
      <c r="H42" s="32"/>
      <c r="I42" s="9"/>
      <c r="J42" s="8"/>
      <c r="K42" s="124"/>
      <c r="L42" s="107"/>
    </row>
    <row r="43" spans="1:12" x14ac:dyDescent="0.2">
      <c r="A43" s="9"/>
      <c r="B43" s="70" t="s">
        <v>31</v>
      </c>
      <c r="C43" s="83"/>
      <c r="D43" s="87"/>
      <c r="E43" s="84"/>
      <c r="F43" s="53"/>
      <c r="H43" s="32"/>
      <c r="I43" s="9"/>
      <c r="J43" s="8"/>
      <c r="K43" s="124"/>
      <c r="L43" s="107"/>
    </row>
    <row r="44" spans="1:12" x14ac:dyDescent="0.2">
      <c r="A44" s="9"/>
      <c r="B44" s="70" t="s">
        <v>32</v>
      </c>
      <c r="C44" t="s">
        <v>234</v>
      </c>
      <c r="H44" s="32"/>
      <c r="I44" s="9"/>
      <c r="J44" s="8"/>
      <c r="K44" s="124"/>
      <c r="L44" s="107"/>
    </row>
    <row r="45" spans="1:12" x14ac:dyDescent="0.2">
      <c r="A45" s="9"/>
      <c r="B45" s="70"/>
      <c r="H45" s="32"/>
      <c r="I45" s="9"/>
      <c r="J45" s="8"/>
      <c r="K45" s="96"/>
      <c r="L45" s="86"/>
    </row>
    <row r="46" spans="1:12" ht="8" customHeight="1" x14ac:dyDescent="0.2">
      <c r="A46" s="47"/>
      <c r="B46" s="91"/>
      <c r="C46" s="48"/>
      <c r="D46" s="48"/>
      <c r="E46" s="48"/>
      <c r="F46" s="48"/>
      <c r="G46" s="49"/>
      <c r="H46" s="50"/>
      <c r="I46" s="49"/>
      <c r="J46" s="47"/>
      <c r="K46" s="57"/>
      <c r="L46" s="58"/>
    </row>
    <row r="47" spans="1:12" ht="16" customHeight="1" x14ac:dyDescent="0.2">
      <c r="A47" s="8" t="s">
        <v>33</v>
      </c>
      <c r="B47" s="70" t="s">
        <v>34</v>
      </c>
      <c r="C47" s="83" t="s">
        <v>187</v>
      </c>
      <c r="D47" s="87"/>
      <c r="E47" s="87"/>
      <c r="F47" s="84"/>
      <c r="H47" s="32"/>
      <c r="I47" s="9"/>
      <c r="J47" s="8"/>
      <c r="K47" s="106"/>
      <c r="L47" s="107"/>
    </row>
    <row r="48" spans="1:12" ht="16" customHeight="1" x14ac:dyDescent="0.2">
      <c r="A48" s="8"/>
      <c r="B48" s="70" t="s">
        <v>35</v>
      </c>
      <c r="C48" s="83" t="s">
        <v>189</v>
      </c>
      <c r="D48" s="87"/>
      <c r="E48" s="87"/>
      <c r="F48" s="84"/>
      <c r="H48" s="32"/>
      <c r="I48" s="9"/>
      <c r="J48" s="8"/>
      <c r="K48" s="106"/>
      <c r="L48" s="107"/>
    </row>
    <row r="49" spans="1:12" x14ac:dyDescent="0.2">
      <c r="A49" s="8"/>
      <c r="B49" s="89" t="s">
        <v>36</v>
      </c>
      <c r="C49" s="61">
        <v>5</v>
      </c>
      <c r="D49" t="str">
        <f>IF(B49="Oral NOAEL =","mg/kg bw/day",IF(B49="Inhalation NOAEL =","mg/l 6-8 h/day"," "))</f>
        <v>mg/kg bw/day</v>
      </c>
      <c r="H49" s="32"/>
      <c r="I49" s="9"/>
      <c r="J49" s="8"/>
      <c r="K49" s="106"/>
      <c r="L49" s="107"/>
    </row>
    <row r="50" spans="1:12" x14ac:dyDescent="0.2">
      <c r="A50" s="8"/>
      <c r="B50" s="70" t="s">
        <v>37</v>
      </c>
      <c r="C50">
        <v>6</v>
      </c>
      <c r="D50" t="str">
        <f>IF(B50="Oral NOAEL =","mg/kg bw/day",IF(B50="Inhalation NOAEL =","mg/l 6-8 h/day"," "))</f>
        <v>mg/l 6-8 h/day</v>
      </c>
      <c r="H50" s="32"/>
      <c r="I50" s="9"/>
      <c r="J50" s="8"/>
      <c r="K50" s="106"/>
      <c r="L50" s="107"/>
    </row>
    <row r="51" spans="1:12" x14ac:dyDescent="0.2">
      <c r="A51" s="32"/>
      <c r="B51" s="70" t="s">
        <v>38</v>
      </c>
      <c r="C51" t="s">
        <v>188</v>
      </c>
      <c r="H51" s="32"/>
      <c r="I51" s="9"/>
      <c r="J51" s="8"/>
      <c r="K51" s="85"/>
      <c r="L51" s="86"/>
    </row>
    <row r="52" spans="1:12" x14ac:dyDescent="0.2">
      <c r="A52" s="32"/>
      <c r="B52" s="70"/>
      <c r="H52" s="32"/>
      <c r="I52" s="9"/>
      <c r="J52" s="8"/>
      <c r="K52" s="85"/>
      <c r="L52" s="86"/>
    </row>
    <row r="53" spans="1:12" ht="8" customHeight="1" x14ac:dyDescent="0.2">
      <c r="A53" s="50"/>
      <c r="B53" s="91"/>
      <c r="C53" s="48"/>
      <c r="D53" s="48"/>
      <c r="E53" s="48"/>
      <c r="F53" s="48"/>
      <c r="G53" s="49"/>
      <c r="H53" s="50"/>
      <c r="I53" s="49"/>
      <c r="J53" s="47"/>
      <c r="K53" s="54"/>
      <c r="L53" s="52"/>
    </row>
    <row r="54" spans="1:12" x14ac:dyDescent="0.2">
      <c r="A54" s="9" t="s">
        <v>39</v>
      </c>
      <c r="B54" s="70" t="s">
        <v>40</v>
      </c>
      <c r="C54" s="83" t="s">
        <v>187</v>
      </c>
      <c r="D54" s="87"/>
      <c r="E54" s="87"/>
      <c r="F54" s="84"/>
      <c r="H54" s="32"/>
      <c r="I54" s="9"/>
      <c r="J54" s="8"/>
      <c r="K54" s="106"/>
      <c r="L54" s="107"/>
    </row>
    <row r="55" spans="1:12" x14ac:dyDescent="0.2">
      <c r="A55" s="9"/>
      <c r="B55" s="70" t="s">
        <v>41</v>
      </c>
      <c r="C55" s="83" t="s">
        <v>190</v>
      </c>
      <c r="D55" s="87"/>
      <c r="E55" s="87"/>
      <c r="F55" s="84"/>
      <c r="H55" s="32"/>
      <c r="I55" s="9"/>
      <c r="J55" s="8"/>
      <c r="K55" s="106"/>
      <c r="L55" s="107"/>
    </row>
    <row r="56" spans="1:12" x14ac:dyDescent="0.2">
      <c r="A56" s="9"/>
      <c r="B56" s="89" t="s">
        <v>36</v>
      </c>
      <c r="C56" s="61">
        <v>1</v>
      </c>
      <c r="D56" t="str">
        <f>IF(B56="Oral NOAEL =","mg/kg bw/day",IF(B56="Inhalation NOAEL =","mg/l 6-8 h/day"," "))</f>
        <v>mg/kg bw/day</v>
      </c>
      <c r="H56" s="32"/>
      <c r="I56" s="9"/>
      <c r="J56" s="8"/>
      <c r="K56" s="106"/>
      <c r="L56" s="107"/>
    </row>
    <row r="57" spans="1:12" x14ac:dyDescent="0.2">
      <c r="A57" s="9"/>
      <c r="B57" s="70" t="s">
        <v>37</v>
      </c>
      <c r="C57">
        <v>1</v>
      </c>
      <c r="D57" t="str">
        <f>IF(B57="Oral NOAEL =","mg/kg bw/day",IF(B57="Inhalation NOAEL =","mg/l 6-8 h/day"," "))</f>
        <v>mg/l 6-8 h/day</v>
      </c>
      <c r="H57" s="32"/>
      <c r="I57" s="9"/>
      <c r="J57" s="8"/>
      <c r="K57" s="106"/>
      <c r="L57" s="107"/>
    </row>
    <row r="58" spans="1:12" x14ac:dyDescent="0.2">
      <c r="B58" s="70" t="s">
        <v>42</v>
      </c>
      <c r="C58" t="s">
        <v>191</v>
      </c>
      <c r="H58" s="32"/>
      <c r="I58" s="9"/>
      <c r="J58" s="8"/>
      <c r="K58" s="85"/>
      <c r="L58" s="86"/>
    </row>
    <row r="59" spans="1:12" x14ac:dyDescent="0.2">
      <c r="B59" s="70"/>
      <c r="H59" s="32"/>
      <c r="I59" s="9"/>
      <c r="J59" s="8"/>
      <c r="K59" s="85"/>
      <c r="L59" s="86"/>
    </row>
    <row r="60" spans="1:12" ht="8" customHeight="1" x14ac:dyDescent="0.2">
      <c r="A60" s="50"/>
      <c r="B60" s="51"/>
      <c r="C60" s="48"/>
      <c r="D60" s="48"/>
      <c r="E60" s="48"/>
      <c r="F60" s="48"/>
      <c r="G60" s="49"/>
      <c r="H60" s="50"/>
      <c r="I60" s="49"/>
      <c r="J60" s="47"/>
      <c r="K60" s="54"/>
      <c r="L60" s="58"/>
    </row>
    <row r="61" spans="1:12" x14ac:dyDescent="0.2">
      <c r="A61" s="9" t="s">
        <v>43</v>
      </c>
      <c r="B61" s="70" t="s">
        <v>44</v>
      </c>
      <c r="C61" s="119" t="s">
        <v>192</v>
      </c>
      <c r="D61" s="120"/>
      <c r="E61" s="120"/>
      <c r="F61" s="121"/>
      <c r="G61" s="9"/>
      <c r="I61" s="9"/>
      <c r="J61" s="8"/>
      <c r="K61" s="123"/>
      <c r="L61" s="107"/>
    </row>
    <row r="62" spans="1:12" x14ac:dyDescent="0.2">
      <c r="A62" s="9"/>
      <c r="B62" s="70" t="s">
        <v>45</v>
      </c>
      <c r="C62" s="119" t="s">
        <v>193</v>
      </c>
      <c r="D62" s="120"/>
      <c r="E62" s="120"/>
      <c r="F62" s="121"/>
      <c r="G62" s="9"/>
      <c r="I62" s="9"/>
      <c r="J62" s="8"/>
      <c r="K62" s="123"/>
      <c r="L62" s="107"/>
    </row>
    <row r="63" spans="1:12" x14ac:dyDescent="0.2">
      <c r="A63" s="9"/>
      <c r="B63" s="70" t="s">
        <v>46</v>
      </c>
      <c r="C63" s="89" t="s">
        <v>193</v>
      </c>
      <c r="G63" s="9"/>
      <c r="I63" s="9"/>
      <c r="J63" s="8"/>
      <c r="K63" s="123"/>
      <c r="L63" s="107"/>
    </row>
    <row r="64" spans="1:12" x14ac:dyDescent="0.2">
      <c r="A64" s="9"/>
      <c r="B64" s="70" t="s">
        <v>47</v>
      </c>
      <c r="C64" s="62">
        <v>5</v>
      </c>
      <c r="E64" s="70"/>
      <c r="F64" s="70"/>
      <c r="G64" s="9"/>
      <c r="I64" s="9"/>
      <c r="J64" s="8"/>
      <c r="K64" s="123"/>
      <c r="L64" s="107"/>
    </row>
    <row r="65" spans="1:12" x14ac:dyDescent="0.2">
      <c r="A65" s="9"/>
      <c r="B65" s="70" t="s">
        <v>48</v>
      </c>
      <c r="C65" s="62">
        <v>1</v>
      </c>
      <c r="E65" s="70"/>
      <c r="F65" s="70"/>
      <c r="G65" s="9"/>
      <c r="I65" s="9"/>
      <c r="J65" s="8"/>
      <c r="K65" s="123"/>
      <c r="L65" s="107"/>
    </row>
    <row r="66" spans="1:12" x14ac:dyDescent="0.2">
      <c r="A66" s="9"/>
      <c r="B66" s="70" t="s">
        <v>49</v>
      </c>
      <c r="C66" t="s">
        <v>194</v>
      </c>
      <c r="E66" s="70"/>
      <c r="F66" s="70"/>
      <c r="G66" s="9"/>
      <c r="I66" s="9"/>
      <c r="J66" s="8"/>
      <c r="K66" s="123"/>
      <c r="L66" s="107"/>
    </row>
    <row r="67" spans="1:12" x14ac:dyDescent="0.2">
      <c r="A67" s="9"/>
      <c r="B67"/>
      <c r="G67" s="9"/>
      <c r="I67" s="9"/>
      <c r="J67" s="8"/>
      <c r="K67" s="123"/>
      <c r="L67" s="107"/>
    </row>
    <row r="68" spans="1:12" ht="8" customHeight="1" x14ac:dyDescent="0.2">
      <c r="A68" s="47"/>
      <c r="B68" s="51"/>
      <c r="C68" s="48"/>
      <c r="D68" s="48"/>
      <c r="E68" s="48"/>
      <c r="F68" s="48"/>
      <c r="G68" s="49"/>
      <c r="H68" s="50"/>
      <c r="I68" s="49"/>
      <c r="J68" s="47"/>
      <c r="K68" s="54"/>
      <c r="L68" s="58"/>
    </row>
    <row r="69" spans="1:12" x14ac:dyDescent="0.2">
      <c r="A69" s="9" t="s">
        <v>50</v>
      </c>
      <c r="B69" s="70" t="s">
        <v>51</v>
      </c>
      <c r="C69" s="119" t="s">
        <v>195</v>
      </c>
      <c r="D69" s="120"/>
      <c r="E69" s="120"/>
      <c r="F69" s="121"/>
      <c r="G69" s="9"/>
      <c r="I69" s="9"/>
      <c r="J69" s="8"/>
      <c r="K69" s="106"/>
      <c r="L69" s="107"/>
    </row>
    <row r="70" spans="1:12" x14ac:dyDescent="0.2">
      <c r="A70" s="9"/>
      <c r="B70" s="70" t="s">
        <v>52</v>
      </c>
      <c r="C70" s="119" t="s">
        <v>196</v>
      </c>
      <c r="D70" s="120"/>
      <c r="E70" s="120"/>
      <c r="F70" s="121"/>
      <c r="G70" s="9"/>
      <c r="I70" s="9"/>
      <c r="J70" s="8"/>
      <c r="K70" s="106"/>
      <c r="L70" s="107"/>
    </row>
    <row r="71" spans="1:12" x14ac:dyDescent="0.2">
      <c r="B71" s="90" t="s">
        <v>53</v>
      </c>
      <c r="C71" s="62">
        <v>5</v>
      </c>
      <c r="D71" t="s">
        <v>54</v>
      </c>
      <c r="E71" s="34"/>
      <c r="G71" s="9"/>
      <c r="H71" s="32"/>
      <c r="I71" s="9"/>
      <c r="J71" s="8"/>
      <c r="K71" s="106"/>
      <c r="L71" s="107"/>
    </row>
    <row r="72" spans="1:12" x14ac:dyDescent="0.2">
      <c r="B72" s="90" t="s">
        <v>55</v>
      </c>
      <c r="C72" s="62">
        <v>1</v>
      </c>
      <c r="D72" t="s">
        <v>56</v>
      </c>
      <c r="G72" s="9"/>
      <c r="H72" s="32"/>
      <c r="I72" s="9"/>
      <c r="J72" s="8"/>
      <c r="K72" s="106"/>
      <c r="L72" s="107"/>
    </row>
    <row r="73" spans="1:12" x14ac:dyDescent="0.2">
      <c r="A73" s="9"/>
      <c r="B73" s="70" t="s">
        <v>57</v>
      </c>
      <c r="C73" t="s">
        <v>197</v>
      </c>
      <c r="G73" s="9"/>
      <c r="I73" s="9"/>
      <c r="J73" s="8"/>
      <c r="K73" s="106"/>
      <c r="L73" s="107"/>
    </row>
    <row r="74" spans="1:12" x14ac:dyDescent="0.2">
      <c r="A74" s="9"/>
      <c r="G74" s="9"/>
      <c r="I74" s="9"/>
      <c r="J74" s="8"/>
      <c r="K74" s="85"/>
      <c r="L74" s="86"/>
    </row>
    <row r="75" spans="1:12" ht="8" customHeight="1" x14ac:dyDescent="0.2">
      <c r="A75" s="47"/>
      <c r="B75" s="51"/>
      <c r="C75" s="48"/>
      <c r="D75" s="48"/>
      <c r="E75" s="48"/>
      <c r="F75" s="48"/>
      <c r="G75" s="49"/>
      <c r="H75" s="50"/>
      <c r="I75" s="49"/>
      <c r="J75" s="47"/>
      <c r="K75" s="54"/>
      <c r="L75" s="58"/>
    </row>
    <row r="76" spans="1:12" x14ac:dyDescent="0.2">
      <c r="A76" s="9" t="s">
        <v>58</v>
      </c>
      <c r="B76" s="70" t="s">
        <v>59</v>
      </c>
      <c r="C76" s="119" t="s">
        <v>198</v>
      </c>
      <c r="D76" s="120"/>
      <c r="E76" s="120"/>
      <c r="F76" s="121"/>
      <c r="G76" s="9"/>
      <c r="I76" s="9"/>
      <c r="J76" s="8"/>
      <c r="K76" s="107"/>
      <c r="L76" s="107"/>
    </row>
    <row r="77" spans="1:12" x14ac:dyDescent="0.2">
      <c r="A77" s="9"/>
      <c r="B77" s="70" t="s">
        <v>60</v>
      </c>
      <c r="C77" s="119" t="s">
        <v>199</v>
      </c>
      <c r="D77" s="120"/>
      <c r="E77" s="120"/>
      <c r="F77" s="121"/>
      <c r="G77" s="9"/>
      <c r="H77" s="32"/>
      <c r="I77" s="9"/>
      <c r="J77" s="8"/>
      <c r="K77" s="107"/>
      <c r="L77" s="107"/>
    </row>
    <row r="78" spans="1:12" x14ac:dyDescent="0.2">
      <c r="A78" s="9"/>
      <c r="B78" s="89" t="s">
        <v>61</v>
      </c>
      <c r="C78" s="62">
        <v>5</v>
      </c>
      <c r="D78" t="str">
        <f>IF(B78="Acute: LC50 (dust/mist/aerosol) =","mg/l/4h",IF(B78="Acute: LC50 (vapor) =","mg/l/4h",IF(B78="Acute: LC50 (gas) =","ppmV")))</f>
        <v>ppmV</v>
      </c>
      <c r="G78" s="9"/>
      <c r="H78" s="32"/>
      <c r="I78" s="9"/>
      <c r="J78" s="8"/>
      <c r="K78" s="107"/>
      <c r="L78" s="107"/>
    </row>
    <row r="79" spans="1:12" x14ac:dyDescent="0.2">
      <c r="A79" s="9"/>
      <c r="B79" s="89" t="s">
        <v>62</v>
      </c>
      <c r="C79" s="62">
        <v>1</v>
      </c>
      <c r="D79" t="str">
        <f>IF(B79="Acute: LC50 (dust/mist/aerosol) =","mg/l/4h",IF(B79="Acute: LC50 (vapor) =","mg/l/4h",IF(B79="Acute: LC50 (gas) =","ppmV")))</f>
        <v>mg/l/4h</v>
      </c>
      <c r="G79" s="9"/>
      <c r="I79" s="9"/>
      <c r="J79" s="8"/>
      <c r="K79" s="107"/>
      <c r="L79" s="107"/>
    </row>
    <row r="80" spans="1:12" x14ac:dyDescent="0.2">
      <c r="A80" s="9"/>
      <c r="B80" s="89" t="s">
        <v>63</v>
      </c>
      <c r="C80" s="62">
        <v>2</v>
      </c>
      <c r="D80" t="str">
        <f>IF(B80="Acute: LC50 (dust/mist/aerosol) =","mg/l/4h",IF(B80="Acute: LC50 (vapor) =","mg/l/4h",IF(B80="Acute: LC50 (gas) =","ppmV")))</f>
        <v>mg/l/4h</v>
      </c>
      <c r="G80" s="9"/>
      <c r="I80" s="9"/>
      <c r="J80" s="8"/>
      <c r="K80" s="107"/>
      <c r="L80" s="107"/>
    </row>
    <row r="81" spans="1:12" x14ac:dyDescent="0.2">
      <c r="A81" s="9"/>
      <c r="B81" s="89" t="s">
        <v>64</v>
      </c>
      <c r="C81" s="62">
        <v>34</v>
      </c>
      <c r="D81" t="str">
        <f>IF(B81="Chronic: LOAEL (dust/mist/aerosol) =","mg/l/6h/d",IF(B81="Chronic: LOAEL (vapor) =","mg/l/6h/d",IF(B81="Chronic: LOAEL (gas) =","ppmV/6h/d")))</f>
        <v>ppmV/6h/d</v>
      </c>
      <c r="G81" s="9"/>
      <c r="I81" s="9"/>
      <c r="J81" s="8"/>
      <c r="K81" s="107"/>
      <c r="L81" s="107"/>
    </row>
    <row r="82" spans="1:12" x14ac:dyDescent="0.2">
      <c r="A82" s="9"/>
      <c r="B82" s="89" t="s">
        <v>65</v>
      </c>
      <c r="C82" s="62">
        <v>4</v>
      </c>
      <c r="D82" t="str">
        <f>IF(B82="Chronic: LOAEL (dust/mist/aerosol) =","mg/l/6h/d",IF(B82="Chronic: LOAEL (vapor) =","mg/l/6h/d",IF(B82="Chronic: LOAEL (gas) =","ppmV/6h/d")))</f>
        <v>mg/l/6h/d</v>
      </c>
      <c r="G82" s="9"/>
      <c r="I82" s="9"/>
      <c r="J82" s="8"/>
      <c r="K82" s="107"/>
      <c r="L82" s="107"/>
    </row>
    <row r="83" spans="1:12" x14ac:dyDescent="0.2">
      <c r="A83" s="9"/>
      <c r="B83" s="89" t="s">
        <v>66</v>
      </c>
      <c r="C83" s="62">
        <v>5</v>
      </c>
      <c r="D83" t="str">
        <f>IF(B83="Chronic: LOAEL (dust/mist/aerosol) =","mg/l/6h/d",IF(B83="Chronic: LOAEL (vapor) =","mg/l/6h/d",IF(B83="Chronic: LOAEL (gas) =","ppmV/6h/d")))</f>
        <v>mg/l/6h/d</v>
      </c>
      <c r="G83" s="9"/>
      <c r="I83" s="9"/>
      <c r="J83" s="8"/>
      <c r="K83" s="107"/>
      <c r="L83" s="107"/>
    </row>
    <row r="84" spans="1:12" x14ac:dyDescent="0.2">
      <c r="A84" s="9"/>
      <c r="B84" s="70" t="s">
        <v>67</v>
      </c>
      <c r="C84" s="97">
        <v>50</v>
      </c>
      <c r="G84" s="9"/>
      <c r="I84" s="9"/>
      <c r="J84" s="8"/>
      <c r="K84" s="107"/>
      <c r="L84" s="107"/>
    </row>
    <row r="85" spans="1:12" x14ac:dyDescent="0.2">
      <c r="A85" s="9"/>
      <c r="B85" s="70" t="s">
        <v>68</v>
      </c>
      <c r="C85" t="s">
        <v>200</v>
      </c>
      <c r="G85" s="9"/>
      <c r="I85" s="9"/>
      <c r="J85" s="8"/>
      <c r="K85" s="86"/>
      <c r="L85" s="86"/>
    </row>
    <row r="86" spans="1:12" x14ac:dyDescent="0.2">
      <c r="A86" s="9"/>
      <c r="G86" s="9"/>
      <c r="I86" s="9"/>
      <c r="J86" s="8"/>
      <c r="K86" s="86"/>
      <c r="L86" s="86"/>
    </row>
    <row r="87" spans="1:12" ht="8" customHeight="1" x14ac:dyDescent="0.2">
      <c r="A87" s="47"/>
      <c r="B87" s="51"/>
      <c r="C87" s="48"/>
      <c r="D87" s="48"/>
      <c r="E87" s="48"/>
      <c r="F87" s="48"/>
      <c r="G87" s="49"/>
      <c r="H87" s="50"/>
      <c r="I87" s="49"/>
      <c r="J87" s="47"/>
      <c r="K87" s="54"/>
      <c r="L87" s="58"/>
    </row>
    <row r="88" spans="1:12" x14ac:dyDescent="0.2">
      <c r="A88" s="9" t="s">
        <v>69</v>
      </c>
      <c r="B88" s="70" t="s">
        <v>70</v>
      </c>
      <c r="C88" s="119" t="s">
        <v>201</v>
      </c>
      <c r="D88" s="120"/>
      <c r="E88" s="120"/>
      <c r="F88" s="121"/>
      <c r="G88" s="9"/>
      <c r="I88" s="9"/>
      <c r="J88" s="8"/>
      <c r="K88" s="106"/>
      <c r="L88" s="107"/>
    </row>
    <row r="89" spans="1:12" x14ac:dyDescent="0.2">
      <c r="A89" s="9"/>
      <c r="B89" s="70" t="s">
        <v>71</v>
      </c>
      <c r="C89" s="119" t="s">
        <v>202</v>
      </c>
      <c r="D89" s="120"/>
      <c r="E89" s="120"/>
      <c r="F89" s="121"/>
      <c r="G89" s="9"/>
      <c r="I89" s="9"/>
      <c r="J89" s="8"/>
      <c r="K89" s="106"/>
      <c r="L89" s="107"/>
    </row>
    <row r="90" spans="1:12" x14ac:dyDescent="0.2">
      <c r="A90" s="9"/>
      <c r="B90" s="70" t="s">
        <v>72</v>
      </c>
      <c r="C90" s="62">
        <v>5</v>
      </c>
      <c r="D90" t="s">
        <v>73</v>
      </c>
      <c r="G90" s="9"/>
      <c r="H90" s="32"/>
      <c r="I90" s="9"/>
      <c r="J90" s="8"/>
      <c r="K90" s="106"/>
      <c r="L90" s="107"/>
    </row>
    <row r="91" spans="1:12" x14ac:dyDescent="0.2">
      <c r="B91" s="90" t="s">
        <v>74</v>
      </c>
      <c r="C91" s="62">
        <v>3</v>
      </c>
      <c r="D91" t="s">
        <v>56</v>
      </c>
      <c r="G91" s="9"/>
      <c r="I91" s="9"/>
      <c r="J91" s="8"/>
      <c r="K91" s="106"/>
      <c r="L91" s="107"/>
    </row>
    <row r="92" spans="1:12" x14ac:dyDescent="0.2">
      <c r="B92" s="90" t="s">
        <v>75</v>
      </c>
      <c r="C92" t="s">
        <v>203</v>
      </c>
      <c r="G92" s="9"/>
      <c r="I92" s="9"/>
      <c r="J92" s="8"/>
      <c r="K92" s="106"/>
      <c r="L92" s="107"/>
    </row>
    <row r="93" spans="1:12" x14ac:dyDescent="0.2">
      <c r="A93" s="9"/>
      <c r="B93" s="18"/>
      <c r="G93" s="9"/>
      <c r="I93" s="9"/>
      <c r="J93" s="8"/>
      <c r="K93" s="106"/>
      <c r="L93" s="107"/>
    </row>
    <row r="94" spans="1:12" ht="8" customHeight="1" x14ac:dyDescent="0.2">
      <c r="A94" s="47"/>
      <c r="B94" s="51"/>
      <c r="C94" s="48"/>
      <c r="D94" s="48"/>
      <c r="E94" s="48"/>
      <c r="F94" s="48"/>
      <c r="G94" s="49"/>
      <c r="H94" s="50"/>
      <c r="I94" s="49"/>
      <c r="J94" s="47"/>
      <c r="K94" s="54"/>
      <c r="L94" s="58"/>
    </row>
    <row r="95" spans="1:12" x14ac:dyDescent="0.2">
      <c r="A95" s="9" t="s">
        <v>76</v>
      </c>
      <c r="B95" s="70" t="s">
        <v>77</v>
      </c>
      <c r="C95" s="119" t="s">
        <v>204</v>
      </c>
      <c r="D95" s="120"/>
      <c r="E95" s="120"/>
      <c r="F95" s="121"/>
      <c r="G95" s="9"/>
      <c r="I95" s="9"/>
      <c r="J95" s="8"/>
      <c r="K95" s="106"/>
      <c r="L95" s="107"/>
    </row>
    <row r="96" spans="1:12" x14ac:dyDescent="0.2">
      <c r="A96" s="9"/>
      <c r="B96" s="70" t="s">
        <v>78</v>
      </c>
      <c r="C96" s="83" t="s">
        <v>205</v>
      </c>
      <c r="D96" s="87"/>
      <c r="E96" s="87"/>
      <c r="F96" s="84"/>
      <c r="G96" s="9"/>
      <c r="I96" s="9"/>
      <c r="J96" s="8"/>
      <c r="K96" s="106"/>
      <c r="L96" s="107"/>
    </row>
    <row r="97" spans="1:12" x14ac:dyDescent="0.2">
      <c r="A97" s="9"/>
      <c r="B97" s="70" t="s">
        <v>79</v>
      </c>
      <c r="C97" s="119" t="s">
        <v>206</v>
      </c>
      <c r="D97" s="120"/>
      <c r="E97" s="120"/>
      <c r="F97" s="121"/>
      <c r="G97" s="9"/>
      <c r="I97" s="9"/>
      <c r="J97" s="8"/>
      <c r="K97" s="106"/>
      <c r="L97" s="107"/>
    </row>
    <row r="98" spans="1:12" x14ac:dyDescent="0.2">
      <c r="A98" s="9"/>
      <c r="B98" s="70" t="s">
        <v>80</v>
      </c>
      <c r="C98" s="83" t="s">
        <v>206</v>
      </c>
      <c r="D98" s="87"/>
      <c r="E98" s="87"/>
      <c r="F98" s="84"/>
      <c r="G98" s="9"/>
      <c r="I98" s="9"/>
      <c r="J98" s="8"/>
      <c r="K98" s="106"/>
      <c r="L98" s="107"/>
    </row>
    <row r="99" spans="1:12" x14ac:dyDescent="0.2">
      <c r="A99" s="9"/>
      <c r="B99" s="70" t="s">
        <v>81</v>
      </c>
      <c r="C99" s="119" t="s">
        <v>207</v>
      </c>
      <c r="D99" s="120"/>
      <c r="E99" s="120"/>
      <c r="F99" s="121"/>
      <c r="G99" s="9"/>
      <c r="I99" s="9"/>
      <c r="J99" s="8"/>
      <c r="K99" s="106"/>
      <c r="L99" s="107"/>
    </row>
    <row r="100" spans="1:12" x14ac:dyDescent="0.2">
      <c r="A100" s="9"/>
      <c r="B100" s="70" t="s">
        <v>82</v>
      </c>
      <c r="C100" s="119" t="s">
        <v>208</v>
      </c>
      <c r="D100" s="120"/>
      <c r="E100" s="120"/>
      <c r="F100" s="121"/>
      <c r="G100" s="9"/>
      <c r="I100" s="9"/>
      <c r="J100" s="8"/>
      <c r="K100" s="106"/>
      <c r="L100" s="107"/>
    </row>
    <row r="101" spans="1:12" x14ac:dyDescent="0.2">
      <c r="A101" s="9"/>
      <c r="G101" s="9"/>
      <c r="I101" s="9"/>
      <c r="J101" s="8"/>
      <c r="K101" s="106"/>
      <c r="L101" s="107"/>
    </row>
    <row r="102" spans="1:12" ht="8" customHeight="1" x14ac:dyDescent="0.2">
      <c r="A102" s="47"/>
      <c r="B102" s="51"/>
      <c r="C102" s="48"/>
      <c r="D102" s="48"/>
      <c r="E102" s="48"/>
      <c r="F102" s="48"/>
      <c r="G102" s="49"/>
      <c r="H102" s="50"/>
      <c r="I102" s="49"/>
      <c r="J102" s="47"/>
      <c r="K102" s="54"/>
      <c r="L102" s="58"/>
    </row>
    <row r="103" spans="1:12" x14ac:dyDescent="0.2">
      <c r="A103" s="9" t="s">
        <v>83</v>
      </c>
      <c r="B103" s="70" t="s">
        <v>84</v>
      </c>
      <c r="C103" s="119" t="s">
        <v>209</v>
      </c>
      <c r="D103" s="120"/>
      <c r="E103" s="120"/>
      <c r="F103" s="121"/>
      <c r="G103" s="9"/>
      <c r="I103" s="9"/>
      <c r="J103" s="8"/>
      <c r="K103" s="122"/>
      <c r="L103" s="107"/>
    </row>
    <row r="104" spans="1:12" x14ac:dyDescent="0.2">
      <c r="A104" s="9"/>
      <c r="B104" s="70" t="s">
        <v>85</v>
      </c>
      <c r="C104" s="83" t="s">
        <v>210</v>
      </c>
      <c r="D104" s="87"/>
      <c r="E104" s="87"/>
      <c r="F104" s="84"/>
      <c r="G104" s="9"/>
      <c r="I104" s="9"/>
      <c r="J104" s="8"/>
      <c r="K104" s="122"/>
      <c r="L104" s="107"/>
    </row>
    <row r="105" spans="1:12" x14ac:dyDescent="0.2">
      <c r="A105" s="9"/>
      <c r="B105" s="70" t="s">
        <v>86</v>
      </c>
      <c r="C105" s="83" t="s">
        <v>210</v>
      </c>
      <c r="D105" s="87"/>
      <c r="E105" s="87"/>
      <c r="F105" s="84"/>
      <c r="G105" s="9"/>
      <c r="I105" s="9"/>
      <c r="J105" s="8"/>
      <c r="K105" s="122"/>
      <c r="L105" s="107"/>
    </row>
    <row r="106" spans="1:12" ht="16" customHeight="1" x14ac:dyDescent="0.2">
      <c r="A106" s="9"/>
      <c r="B106" s="70" t="s">
        <v>87</v>
      </c>
      <c r="C106" s="112" t="s">
        <v>210</v>
      </c>
      <c r="D106" s="113"/>
      <c r="E106" s="113"/>
      <c r="F106" s="114"/>
      <c r="G106" s="9"/>
      <c r="I106" s="9"/>
      <c r="J106" s="8"/>
      <c r="K106" s="122"/>
      <c r="L106" s="107"/>
    </row>
    <row r="107" spans="1:12" ht="16" customHeight="1" x14ac:dyDescent="0.2">
      <c r="A107" s="9"/>
      <c r="B107" s="70" t="s">
        <v>88</v>
      </c>
      <c r="C107" s="92" t="s">
        <v>210</v>
      </c>
      <c r="D107" s="92"/>
      <c r="E107" s="92"/>
      <c r="F107" s="92"/>
      <c r="G107" s="9"/>
      <c r="I107" s="9"/>
      <c r="J107" s="8"/>
      <c r="K107" s="122"/>
      <c r="L107" s="107"/>
    </row>
    <row r="108" spans="1:12" ht="16" customHeight="1" x14ac:dyDescent="0.2">
      <c r="A108" s="9"/>
      <c r="B108" s="70" t="s">
        <v>89</v>
      </c>
      <c r="C108" s="92" t="s">
        <v>211</v>
      </c>
      <c r="D108" s="92"/>
      <c r="E108" s="92"/>
      <c r="F108" s="92"/>
      <c r="G108" s="9"/>
      <c r="I108" s="9"/>
      <c r="J108" s="8"/>
      <c r="K108" s="122"/>
      <c r="L108" s="107"/>
    </row>
    <row r="109" spans="1:12" x14ac:dyDescent="0.2">
      <c r="A109" s="9"/>
      <c r="G109" s="9"/>
      <c r="I109" s="9"/>
      <c r="J109" s="8"/>
      <c r="K109" s="122"/>
      <c r="L109" s="107"/>
    </row>
    <row r="110" spans="1:12" ht="8" customHeight="1" x14ac:dyDescent="0.2">
      <c r="A110" s="47"/>
      <c r="B110" s="51"/>
      <c r="C110" s="48"/>
      <c r="D110" s="48"/>
      <c r="E110" s="48"/>
      <c r="F110" s="48"/>
      <c r="G110" s="49"/>
      <c r="H110" s="50"/>
      <c r="I110" s="49"/>
      <c r="J110" s="47"/>
      <c r="K110" s="54"/>
      <c r="L110" s="58"/>
    </row>
    <row r="111" spans="1:12" x14ac:dyDescent="0.2">
      <c r="A111" s="9" t="s">
        <v>90</v>
      </c>
      <c r="B111" s="70" t="s">
        <v>91</v>
      </c>
      <c r="G111" s="9"/>
      <c r="I111" s="9"/>
      <c r="J111" s="8"/>
      <c r="K111" s="109"/>
      <c r="L111" s="107"/>
    </row>
    <row r="112" spans="1:12" x14ac:dyDescent="0.2">
      <c r="A112" s="31"/>
      <c r="B112" s="37"/>
      <c r="C112" s="33"/>
      <c r="D112" s="33"/>
      <c r="E112" s="33"/>
      <c r="F112" s="33"/>
      <c r="G112" s="31"/>
      <c r="H112" s="33"/>
      <c r="I112" s="31"/>
      <c r="J112" s="28"/>
      <c r="K112" s="110"/>
      <c r="L112" s="111"/>
    </row>
    <row r="113" spans="1:12" x14ac:dyDescent="0.2">
      <c r="A113" s="74"/>
      <c r="H113" s="74"/>
      <c r="J113" s="74"/>
      <c r="K113" s="74"/>
      <c r="L113" s="75"/>
    </row>
    <row r="114" spans="1:12" x14ac:dyDescent="0.2">
      <c r="A114" s="5" t="s">
        <v>9</v>
      </c>
      <c r="B114" s="71" t="s">
        <v>10</v>
      </c>
      <c r="C114" s="72"/>
      <c r="D114" s="72"/>
      <c r="E114" s="72"/>
      <c r="F114" s="72"/>
      <c r="G114" s="73"/>
      <c r="H114" s="116" t="s">
        <v>11</v>
      </c>
      <c r="I114" s="117"/>
      <c r="J114" s="5"/>
      <c r="K114" s="6"/>
      <c r="L114" s="5" t="s">
        <v>92</v>
      </c>
    </row>
    <row r="115" spans="1:12" x14ac:dyDescent="0.2">
      <c r="A115" s="22" t="s">
        <v>93</v>
      </c>
      <c r="B115" s="23"/>
      <c r="C115" s="24"/>
      <c r="D115" s="24"/>
      <c r="E115" s="24"/>
      <c r="F115" s="24"/>
      <c r="G115" s="25"/>
      <c r="H115" s="26"/>
      <c r="I115" s="25"/>
      <c r="J115" s="22"/>
      <c r="K115" s="25"/>
      <c r="L115" s="25"/>
    </row>
    <row r="116" spans="1:12" ht="16" customHeight="1" x14ac:dyDescent="0.2">
      <c r="A116" s="9" t="s">
        <v>94</v>
      </c>
      <c r="B116" s="70" t="s">
        <v>95</v>
      </c>
      <c r="C116" s="112" t="s">
        <v>229</v>
      </c>
      <c r="D116" s="113"/>
      <c r="E116" s="113"/>
      <c r="F116" s="114"/>
      <c r="G116" s="9"/>
      <c r="I116" s="9"/>
      <c r="J116" s="8"/>
      <c r="K116" s="115"/>
      <c r="L116" s="118"/>
    </row>
    <row r="117" spans="1:12" x14ac:dyDescent="0.2">
      <c r="A117" s="9"/>
      <c r="B117" s="70" t="s">
        <v>96</v>
      </c>
      <c r="C117" s="62">
        <v>1</v>
      </c>
      <c r="D117" t="s">
        <v>97</v>
      </c>
      <c r="G117" s="9"/>
      <c r="H117" s="79"/>
      <c r="I117" s="9"/>
      <c r="J117" s="8"/>
      <c r="K117" s="106"/>
      <c r="L117" s="107"/>
    </row>
    <row r="118" spans="1:12" x14ac:dyDescent="0.2">
      <c r="A118" s="9"/>
      <c r="B118" s="70" t="s">
        <v>98</v>
      </c>
      <c r="C118" s="80">
        <v>10</v>
      </c>
      <c r="D118" t="s">
        <v>97</v>
      </c>
      <c r="G118" s="9"/>
      <c r="I118" s="9"/>
      <c r="J118" s="8"/>
      <c r="K118" s="106"/>
      <c r="L118" s="107"/>
    </row>
    <row r="119" spans="1:12" x14ac:dyDescent="0.2">
      <c r="A119" s="9"/>
      <c r="B119" s="70" t="s">
        <v>99</v>
      </c>
      <c r="C119" s="62">
        <v>2</v>
      </c>
      <c r="D119" t="s">
        <v>97</v>
      </c>
      <c r="G119" s="9"/>
      <c r="I119" s="9"/>
      <c r="J119" s="8"/>
      <c r="K119" s="106"/>
      <c r="L119" s="107"/>
    </row>
    <row r="120" spans="1:12" x14ac:dyDescent="0.2">
      <c r="A120" s="9"/>
      <c r="B120" s="70" t="s">
        <v>100</v>
      </c>
      <c r="C120" s="62">
        <v>5</v>
      </c>
      <c r="G120" s="9"/>
      <c r="I120" s="9"/>
      <c r="J120" s="8"/>
      <c r="K120" s="106"/>
      <c r="L120" s="107"/>
    </row>
    <row r="121" spans="1:12" x14ac:dyDescent="0.2">
      <c r="A121" s="9"/>
      <c r="B121" s="70"/>
      <c r="G121" s="9"/>
      <c r="I121" s="9"/>
      <c r="J121" s="8"/>
      <c r="K121" s="85"/>
      <c r="L121" s="86"/>
    </row>
    <row r="122" spans="1:12" ht="8" customHeight="1" x14ac:dyDescent="0.2">
      <c r="A122" s="47"/>
      <c r="B122" s="91"/>
      <c r="C122" s="48"/>
      <c r="D122" s="48"/>
      <c r="E122" s="48"/>
      <c r="F122" s="48"/>
      <c r="G122" s="49"/>
      <c r="H122" s="50"/>
      <c r="I122" s="49"/>
      <c r="J122" s="47"/>
      <c r="K122" s="54"/>
      <c r="L122" s="58"/>
    </row>
    <row r="123" spans="1:12" ht="16" customHeight="1" x14ac:dyDescent="0.2">
      <c r="A123" s="9" t="s">
        <v>101</v>
      </c>
      <c r="B123" s="70" t="s">
        <v>95</v>
      </c>
      <c r="C123" s="112" t="s">
        <v>230</v>
      </c>
      <c r="D123" s="113"/>
      <c r="E123" s="113"/>
      <c r="F123" s="114"/>
      <c r="G123" s="9"/>
      <c r="I123" s="9"/>
      <c r="J123" s="8"/>
      <c r="K123" s="115"/>
      <c r="L123" s="107"/>
    </row>
    <row r="124" spans="1:12" x14ac:dyDescent="0.2">
      <c r="A124" s="9"/>
      <c r="B124" s="70" t="s">
        <v>233</v>
      </c>
      <c r="C124" s="62">
        <v>2</v>
      </c>
      <c r="D124" t="s">
        <v>97</v>
      </c>
      <c r="G124" s="9"/>
      <c r="I124" s="9"/>
      <c r="J124" s="8"/>
      <c r="K124" s="106"/>
      <c r="L124" s="107"/>
    </row>
    <row r="125" spans="1:12" x14ac:dyDescent="0.2">
      <c r="A125" s="9"/>
      <c r="B125" s="70" t="s">
        <v>102</v>
      </c>
      <c r="C125" s="62">
        <v>20</v>
      </c>
      <c r="D125" t="s">
        <v>97</v>
      </c>
      <c r="G125" s="9"/>
      <c r="H125" s="79"/>
      <c r="I125" s="9"/>
      <c r="J125" s="8"/>
      <c r="K125" s="106"/>
      <c r="L125" s="107"/>
    </row>
    <row r="126" spans="1:12" x14ac:dyDescent="0.2">
      <c r="A126" s="9"/>
      <c r="B126" s="70" t="s">
        <v>99</v>
      </c>
      <c r="C126" s="62">
        <v>3</v>
      </c>
      <c r="D126" t="s">
        <v>97</v>
      </c>
      <c r="G126" s="9"/>
      <c r="H126" s="79"/>
      <c r="I126" s="9"/>
      <c r="J126" s="8"/>
      <c r="K126" s="106"/>
      <c r="L126" s="107"/>
    </row>
    <row r="127" spans="1:12" x14ac:dyDescent="0.2">
      <c r="A127" s="9"/>
      <c r="B127" s="70" t="s">
        <v>100</v>
      </c>
      <c r="C127" s="62">
        <v>6</v>
      </c>
      <c r="G127" s="9"/>
      <c r="H127" s="79"/>
      <c r="I127" s="9"/>
      <c r="J127" s="8"/>
      <c r="K127" s="106"/>
      <c r="L127" s="107"/>
    </row>
    <row r="128" spans="1:12" x14ac:dyDescent="0.2">
      <c r="A128" s="9"/>
      <c r="B128" s="70"/>
      <c r="G128" s="9"/>
      <c r="H128" s="79"/>
      <c r="I128" s="9"/>
      <c r="J128" s="8"/>
      <c r="K128" s="85"/>
      <c r="L128" s="86"/>
    </row>
    <row r="129" spans="1:12" ht="8" customHeight="1" x14ac:dyDescent="0.2">
      <c r="A129" s="47"/>
      <c r="B129" s="91"/>
      <c r="C129" s="48"/>
      <c r="D129" s="48"/>
      <c r="E129" s="48"/>
      <c r="F129" s="48"/>
      <c r="G129" s="49"/>
      <c r="H129" s="50"/>
      <c r="I129" s="49"/>
      <c r="J129" s="47"/>
      <c r="K129" s="54"/>
      <c r="L129" s="58"/>
    </row>
    <row r="130" spans="1:12" ht="16" customHeight="1" x14ac:dyDescent="0.2">
      <c r="A130" s="9" t="s">
        <v>103</v>
      </c>
      <c r="B130" s="70" t="s">
        <v>95</v>
      </c>
      <c r="C130" s="112" t="s">
        <v>231</v>
      </c>
      <c r="D130" s="113"/>
      <c r="E130" s="113"/>
      <c r="F130" s="114"/>
      <c r="G130" s="9"/>
      <c r="I130" s="9"/>
      <c r="J130" s="8"/>
      <c r="K130" s="115"/>
      <c r="L130" s="107"/>
    </row>
    <row r="131" spans="1:12" x14ac:dyDescent="0.2">
      <c r="A131" s="9"/>
      <c r="B131" s="70" t="s">
        <v>104</v>
      </c>
      <c r="C131" s="63">
        <v>3</v>
      </c>
      <c r="D131" t="s">
        <v>97</v>
      </c>
      <c r="G131" s="9"/>
      <c r="I131" s="9"/>
      <c r="J131" s="9"/>
      <c r="K131" s="106"/>
      <c r="L131" s="107"/>
    </row>
    <row r="132" spans="1:12" x14ac:dyDescent="0.2">
      <c r="A132" s="9"/>
      <c r="B132" s="70" t="s">
        <v>105</v>
      </c>
      <c r="C132" s="62">
        <v>30</v>
      </c>
      <c r="D132" t="s">
        <v>97</v>
      </c>
      <c r="G132" s="9"/>
      <c r="H132" s="79"/>
      <c r="I132" s="9"/>
      <c r="J132" s="9"/>
      <c r="K132" s="106"/>
      <c r="L132" s="107"/>
    </row>
    <row r="133" spans="1:12" x14ac:dyDescent="0.2">
      <c r="A133" s="9"/>
      <c r="B133" s="70" t="s">
        <v>99</v>
      </c>
      <c r="C133" s="62">
        <v>4</v>
      </c>
      <c r="D133" t="s">
        <v>97</v>
      </c>
      <c r="G133" s="9"/>
      <c r="H133" s="79"/>
      <c r="I133" s="9"/>
      <c r="J133" s="9"/>
      <c r="K133" s="106"/>
      <c r="L133" s="107"/>
    </row>
    <row r="134" spans="1:12" x14ac:dyDescent="0.2">
      <c r="A134" s="9"/>
      <c r="B134" s="70" t="s">
        <v>100</v>
      </c>
      <c r="C134" s="62">
        <v>7</v>
      </c>
      <c r="G134" s="9"/>
      <c r="H134" s="79"/>
      <c r="I134" s="9"/>
      <c r="J134" s="9"/>
      <c r="K134" s="106"/>
      <c r="L134" s="107"/>
    </row>
    <row r="135" spans="1:12" x14ac:dyDescent="0.2">
      <c r="A135" s="9"/>
      <c r="G135" s="9"/>
      <c r="H135" s="79"/>
      <c r="I135" s="9"/>
      <c r="J135" s="9"/>
      <c r="K135" s="85"/>
      <c r="L135" s="86"/>
    </row>
    <row r="136" spans="1:12" ht="8" customHeight="1" x14ac:dyDescent="0.2">
      <c r="A136" s="47"/>
      <c r="B136" s="51"/>
      <c r="C136" s="48"/>
      <c r="D136" s="48"/>
      <c r="E136" s="48"/>
      <c r="F136" s="48"/>
      <c r="G136" s="49"/>
      <c r="H136" s="50"/>
      <c r="I136" s="49"/>
      <c r="J136" s="47"/>
      <c r="K136" s="54"/>
      <c r="L136" s="58"/>
    </row>
    <row r="137" spans="1:12" x14ac:dyDescent="0.2">
      <c r="A137" s="9" t="s">
        <v>106</v>
      </c>
      <c r="B137" s="70" t="s">
        <v>107</v>
      </c>
      <c r="G137" s="9"/>
      <c r="I137" s="9"/>
      <c r="J137" s="9"/>
      <c r="K137" s="109"/>
      <c r="L137" s="107"/>
    </row>
    <row r="138" spans="1:12" x14ac:dyDescent="0.2">
      <c r="A138" s="9"/>
      <c r="G138" s="9"/>
      <c r="I138" s="9"/>
      <c r="J138" s="9"/>
      <c r="K138" s="109"/>
      <c r="L138" s="107"/>
    </row>
    <row r="139" spans="1:12" ht="6" customHeight="1" x14ac:dyDescent="0.2">
      <c r="A139" s="47"/>
      <c r="B139" s="51"/>
      <c r="C139" s="48"/>
      <c r="D139" s="48"/>
      <c r="E139" s="48"/>
      <c r="F139" s="48"/>
      <c r="G139" s="49"/>
      <c r="H139" s="50"/>
      <c r="I139" s="49"/>
      <c r="J139" s="47"/>
      <c r="K139" s="54"/>
      <c r="L139" s="58"/>
    </row>
    <row r="140" spans="1:12" x14ac:dyDescent="0.2">
      <c r="A140" s="9" t="s">
        <v>108</v>
      </c>
      <c r="B140" s="70" t="s">
        <v>109</v>
      </c>
      <c r="C140" t="s">
        <v>232</v>
      </c>
      <c r="G140" s="9"/>
      <c r="I140" s="9"/>
      <c r="J140" s="9"/>
      <c r="K140" s="109"/>
      <c r="L140" s="107"/>
    </row>
    <row r="141" spans="1:12" x14ac:dyDescent="0.2">
      <c r="A141" s="9"/>
      <c r="G141" s="9"/>
      <c r="I141" s="9"/>
      <c r="J141" s="9"/>
      <c r="K141" s="109"/>
      <c r="L141" s="107"/>
    </row>
    <row r="142" spans="1:12" ht="8" customHeight="1" x14ac:dyDescent="0.2">
      <c r="A142" s="47"/>
      <c r="B142" s="51"/>
      <c r="C142" s="48"/>
      <c r="D142" s="48"/>
      <c r="E142" s="48"/>
      <c r="F142" s="48"/>
      <c r="G142" s="49"/>
      <c r="H142" s="50"/>
      <c r="I142" s="49"/>
      <c r="J142" s="47"/>
      <c r="K142" s="54"/>
      <c r="L142" s="58"/>
    </row>
    <row r="143" spans="1:12" x14ac:dyDescent="0.2">
      <c r="A143" s="9" t="s">
        <v>110</v>
      </c>
      <c r="B143" s="77" t="s">
        <v>111</v>
      </c>
      <c r="C143" s="62">
        <v>500</v>
      </c>
      <c r="G143" s="9"/>
      <c r="I143" s="9"/>
      <c r="J143" s="9"/>
      <c r="K143" s="106"/>
      <c r="L143" s="107"/>
    </row>
    <row r="144" spans="1:12" x14ac:dyDescent="0.2">
      <c r="A144" s="9"/>
      <c r="B144" s="77" t="s">
        <v>112</v>
      </c>
      <c r="C144" s="62">
        <v>20</v>
      </c>
      <c r="G144" s="9"/>
      <c r="I144" s="9"/>
      <c r="J144" s="9"/>
      <c r="K144" s="106"/>
      <c r="L144" s="107"/>
    </row>
    <row r="145" spans="1:12" x14ac:dyDescent="0.2">
      <c r="A145" s="9"/>
      <c r="B145" s="70" t="s">
        <v>113</v>
      </c>
      <c r="C145" s="62">
        <v>6</v>
      </c>
      <c r="G145" s="9"/>
      <c r="I145" s="9"/>
      <c r="J145" s="9"/>
      <c r="K145" s="106"/>
      <c r="L145" s="107"/>
    </row>
    <row r="146" spans="1:12" x14ac:dyDescent="0.2">
      <c r="A146" s="9"/>
      <c r="B146" s="70" t="s">
        <v>114</v>
      </c>
      <c r="C146" s="62">
        <v>100</v>
      </c>
      <c r="D146" t="s">
        <v>115</v>
      </c>
      <c r="G146" s="9"/>
      <c r="I146" s="9"/>
      <c r="J146" s="9"/>
      <c r="K146" s="106"/>
      <c r="L146" s="107"/>
    </row>
    <row r="147" spans="1:12" x14ac:dyDescent="0.2">
      <c r="A147" s="9"/>
      <c r="G147" s="9"/>
      <c r="I147" s="9"/>
      <c r="J147" s="9"/>
      <c r="K147" s="106"/>
      <c r="L147" s="107"/>
    </row>
    <row r="148" spans="1:12" ht="8" customHeight="1" x14ac:dyDescent="0.2">
      <c r="A148" s="47"/>
      <c r="B148" s="51"/>
      <c r="C148" s="48"/>
      <c r="D148" s="48"/>
      <c r="E148" s="48"/>
      <c r="F148" s="48"/>
      <c r="G148" s="49"/>
      <c r="H148" s="50"/>
      <c r="I148" s="49"/>
      <c r="J148" s="47"/>
      <c r="K148" s="54"/>
      <c r="L148" s="58"/>
    </row>
    <row r="149" spans="1:12" x14ac:dyDescent="0.2">
      <c r="A149" s="9" t="s">
        <v>116</v>
      </c>
      <c r="B149" s="70" t="s">
        <v>117</v>
      </c>
      <c r="C149" s="62" t="s">
        <v>212</v>
      </c>
      <c r="D149" t="str">
        <f>IF(B149="% ThOD biodegradation after 28 days:","% degradation (ThOD)",IF(B149="% DOC biodegradation after 28 days:","% degradation (DOC)",IF(A149="Substance is inherently biodegradable","","Assess manually")))</f>
        <v>% degradation (DOC)</v>
      </c>
      <c r="G149" s="9"/>
      <c r="I149" s="9"/>
      <c r="J149" s="9"/>
      <c r="K149" s="106"/>
      <c r="L149" s="107"/>
    </row>
    <row r="150" spans="1:12" x14ac:dyDescent="0.2">
      <c r="A150" s="9"/>
      <c r="B150" s="70" t="s">
        <v>118</v>
      </c>
      <c r="C150" s="62" t="s">
        <v>120</v>
      </c>
      <c r="D150" t="str">
        <f>IF(B150="% ThOD biodegradation after 28 days:","% degradation (ThOD)",IF(B150="% DOC biodegradation after 28 days:","% degradation (DOC)",IF(A150="Substance is inherently biodegradable","","Assess manually")))</f>
        <v>% degradation (ThOD)</v>
      </c>
      <c r="G150" s="9"/>
      <c r="I150" s="9"/>
      <c r="J150" s="9"/>
      <c r="K150" s="106"/>
      <c r="L150" s="107"/>
    </row>
    <row r="151" spans="1:12" x14ac:dyDescent="0.2">
      <c r="A151" s="9"/>
      <c r="B151" s="70" t="s">
        <v>119</v>
      </c>
      <c r="C151" s="62" t="s">
        <v>212</v>
      </c>
      <c r="G151" s="9"/>
      <c r="I151" s="9"/>
      <c r="J151" s="9"/>
      <c r="K151" s="106"/>
      <c r="L151" s="107"/>
    </row>
    <row r="152" spans="1:12" x14ac:dyDescent="0.2">
      <c r="A152" s="9"/>
      <c r="B152" s="70" t="s">
        <v>120</v>
      </c>
      <c r="C152" s="62" t="s">
        <v>121</v>
      </c>
      <c r="G152" s="9"/>
      <c r="I152" s="9"/>
      <c r="J152" s="9"/>
      <c r="K152" s="106"/>
      <c r="L152" s="107"/>
    </row>
    <row r="153" spans="1:12" x14ac:dyDescent="0.2">
      <c r="A153" s="9"/>
      <c r="B153" s="70" t="s">
        <v>121</v>
      </c>
      <c r="C153" s="62" t="s">
        <v>118</v>
      </c>
      <c r="G153" s="9"/>
      <c r="I153" s="9"/>
      <c r="J153" s="9"/>
      <c r="K153" s="106"/>
      <c r="L153" s="107"/>
    </row>
    <row r="154" spans="1:12" x14ac:dyDescent="0.2">
      <c r="A154" s="9"/>
      <c r="B154" s="70" t="s">
        <v>122</v>
      </c>
      <c r="C154" s="62" t="s">
        <v>213</v>
      </c>
      <c r="G154" s="9"/>
      <c r="I154" s="9"/>
      <c r="J154" s="9"/>
      <c r="K154" s="106"/>
      <c r="L154" s="107"/>
    </row>
    <row r="155" spans="1:12" x14ac:dyDescent="0.2">
      <c r="A155" s="9"/>
      <c r="B155" s="88"/>
      <c r="G155" s="9"/>
      <c r="I155" s="9"/>
      <c r="J155" s="9"/>
      <c r="K155" s="85"/>
      <c r="L155" s="86"/>
    </row>
    <row r="156" spans="1:12" ht="8" customHeight="1" x14ac:dyDescent="0.2">
      <c r="A156" s="47"/>
      <c r="B156" s="51"/>
      <c r="C156" s="48"/>
      <c r="D156" s="48"/>
      <c r="E156" s="48"/>
      <c r="F156" s="48"/>
      <c r="G156" s="49"/>
      <c r="H156" s="50"/>
      <c r="I156" s="49"/>
      <c r="J156" s="47"/>
      <c r="K156" s="54"/>
      <c r="L156" s="58"/>
    </row>
    <row r="157" spans="1:12" ht="15" customHeight="1" x14ac:dyDescent="0.2">
      <c r="A157" s="9" t="s">
        <v>123</v>
      </c>
      <c r="B157" s="70" t="s">
        <v>124</v>
      </c>
      <c r="C157" s="62" t="s">
        <v>193</v>
      </c>
      <c r="G157" s="9"/>
      <c r="I157" s="9"/>
      <c r="J157" s="9"/>
      <c r="K157" s="108"/>
      <c r="L157" s="107"/>
    </row>
    <row r="158" spans="1:12" x14ac:dyDescent="0.2">
      <c r="A158" s="9"/>
      <c r="G158" s="9"/>
      <c r="I158" s="9"/>
      <c r="J158" s="9"/>
      <c r="K158" s="108"/>
      <c r="L158" s="107"/>
    </row>
    <row r="159" spans="1:12" ht="8" customHeight="1" x14ac:dyDescent="0.2">
      <c r="A159" s="47"/>
      <c r="B159" s="51"/>
      <c r="C159" s="48"/>
      <c r="D159" s="48"/>
      <c r="E159" s="48"/>
      <c r="F159" s="48"/>
      <c r="G159" s="49"/>
      <c r="H159" s="50"/>
      <c r="I159" s="49"/>
      <c r="J159" s="47"/>
      <c r="K159" s="54"/>
      <c r="L159" s="58"/>
    </row>
    <row r="160" spans="1:12" x14ac:dyDescent="0.2">
      <c r="A160" s="9" t="s">
        <v>90</v>
      </c>
      <c r="G160" s="9"/>
      <c r="I160" s="9"/>
      <c r="J160" s="9"/>
      <c r="K160" s="109"/>
      <c r="L160" s="107"/>
    </row>
    <row r="161" spans="1:12" x14ac:dyDescent="0.2">
      <c r="A161" s="9"/>
      <c r="G161" s="9"/>
      <c r="I161" s="9"/>
      <c r="J161" s="9"/>
      <c r="K161" s="110"/>
      <c r="L161" s="111"/>
    </row>
    <row r="162" spans="1:12" x14ac:dyDescent="0.2">
      <c r="A162" s="22" t="s">
        <v>125</v>
      </c>
      <c r="B162" s="36"/>
      <c r="C162" s="24"/>
      <c r="D162" s="24"/>
      <c r="E162" s="24"/>
      <c r="F162" s="24"/>
      <c r="G162" s="25"/>
      <c r="H162" s="26"/>
      <c r="I162" s="25"/>
      <c r="J162" s="25"/>
      <c r="K162" s="55"/>
      <c r="L162" s="25"/>
    </row>
    <row r="163" spans="1:12" ht="16" customHeight="1" x14ac:dyDescent="0.2">
      <c r="A163" s="8" t="s">
        <v>126</v>
      </c>
      <c r="B163" s="70" t="s">
        <v>124</v>
      </c>
      <c r="C163" s="62" t="s">
        <v>214</v>
      </c>
      <c r="G163" s="9"/>
      <c r="I163" s="9"/>
      <c r="J163" s="9"/>
      <c r="K163" s="98"/>
      <c r="L163" s="99"/>
    </row>
    <row r="164" spans="1:12" x14ac:dyDescent="0.2">
      <c r="A164" s="28"/>
      <c r="B164" s="37"/>
      <c r="C164" s="33"/>
      <c r="D164" s="33"/>
      <c r="E164" s="33"/>
      <c r="F164" s="33"/>
      <c r="G164" s="31"/>
      <c r="H164" s="33"/>
      <c r="I164" s="31"/>
      <c r="J164" s="9"/>
      <c r="K164" s="100"/>
      <c r="L164" s="101"/>
    </row>
    <row r="165" spans="1:12" ht="16" customHeight="1" x14ac:dyDescent="0.2">
      <c r="A165" s="8" t="s">
        <v>127</v>
      </c>
      <c r="B165" s="70" t="s">
        <v>124</v>
      </c>
      <c r="C165" s="62" t="s">
        <v>193</v>
      </c>
      <c r="G165" s="9"/>
      <c r="I165" s="9"/>
      <c r="J165" s="9"/>
      <c r="K165" s="98"/>
      <c r="L165" s="99"/>
    </row>
    <row r="166" spans="1:12" x14ac:dyDescent="0.2">
      <c r="A166" s="28"/>
      <c r="B166" s="37"/>
      <c r="C166" s="33"/>
      <c r="D166" s="33"/>
      <c r="E166" s="33"/>
      <c r="F166" s="33"/>
      <c r="G166" s="31"/>
      <c r="H166" s="33"/>
      <c r="I166" s="31"/>
      <c r="J166" s="9"/>
      <c r="K166" s="100"/>
      <c r="L166" s="101"/>
    </row>
    <row r="167" spans="1:12" x14ac:dyDescent="0.2">
      <c r="A167" s="8" t="s">
        <v>128</v>
      </c>
      <c r="B167" s="70" t="s">
        <v>124</v>
      </c>
      <c r="C167" s="62" t="s">
        <v>214</v>
      </c>
      <c r="G167" s="9"/>
      <c r="I167" s="9"/>
      <c r="J167" s="9"/>
      <c r="K167" s="98"/>
      <c r="L167" s="99"/>
    </row>
    <row r="168" spans="1:12" x14ac:dyDescent="0.2">
      <c r="A168" s="28"/>
      <c r="B168" s="37"/>
      <c r="C168" s="33"/>
      <c r="D168" s="33"/>
      <c r="E168" s="33"/>
      <c r="F168" s="33"/>
      <c r="G168" s="31"/>
      <c r="H168" s="33"/>
      <c r="I168" s="31"/>
      <c r="J168" s="9"/>
      <c r="K168" s="100"/>
      <c r="L168" s="101"/>
    </row>
    <row r="169" spans="1:12" x14ac:dyDescent="0.2">
      <c r="A169" s="8" t="s">
        <v>129</v>
      </c>
      <c r="B169" s="70" t="s">
        <v>124</v>
      </c>
      <c r="C169" s="62" t="s">
        <v>214</v>
      </c>
      <c r="G169" s="9"/>
      <c r="I169" s="9"/>
      <c r="J169" s="9"/>
      <c r="K169" s="98"/>
      <c r="L169" s="99"/>
    </row>
    <row r="170" spans="1:12" x14ac:dyDescent="0.2">
      <c r="A170" s="28"/>
      <c r="B170" s="37"/>
      <c r="C170" s="33"/>
      <c r="D170" s="33"/>
      <c r="E170" s="33"/>
      <c r="F170" s="33"/>
      <c r="G170" s="31"/>
      <c r="H170" s="33"/>
      <c r="I170" s="31"/>
      <c r="J170" s="9"/>
      <c r="K170" s="100"/>
      <c r="L170" s="101"/>
    </row>
    <row r="171" spans="1:12" x14ac:dyDescent="0.2">
      <c r="A171" s="8" t="s">
        <v>178</v>
      </c>
      <c r="B171" s="70" t="s">
        <v>124</v>
      </c>
      <c r="C171" s="62" t="s">
        <v>214</v>
      </c>
      <c r="G171" s="9"/>
      <c r="I171" s="9"/>
      <c r="J171" s="9"/>
      <c r="K171" s="98"/>
      <c r="L171" s="99"/>
    </row>
    <row r="172" spans="1:12" x14ac:dyDescent="0.2">
      <c r="A172" s="28"/>
      <c r="B172" s="37"/>
      <c r="C172" s="33"/>
      <c r="D172" s="33"/>
      <c r="E172" s="33"/>
      <c r="F172" s="33"/>
      <c r="G172" s="31"/>
      <c r="H172" s="33"/>
      <c r="I172" s="31"/>
      <c r="J172" s="9"/>
      <c r="K172" s="100"/>
      <c r="L172" s="101"/>
    </row>
    <row r="173" spans="1:12" x14ac:dyDescent="0.2">
      <c r="J173" s="67" t="s">
        <v>130</v>
      </c>
      <c r="K173" s="68"/>
      <c r="L173" s="102"/>
    </row>
    <row r="174" spans="1:12" x14ac:dyDescent="0.2">
      <c r="J174" s="69"/>
      <c r="K174" s="31"/>
      <c r="L174" s="103"/>
    </row>
    <row r="175" spans="1:12" x14ac:dyDescent="0.2">
      <c r="J175" s="64" t="s">
        <v>131</v>
      </c>
      <c r="K175" s="30"/>
      <c r="L175" s="104"/>
    </row>
    <row r="176" spans="1:12" ht="17" thickBot="1" x14ac:dyDescent="0.25">
      <c r="J176" s="65"/>
      <c r="K176" s="66"/>
      <c r="L176" s="105"/>
    </row>
    <row r="178" spans="1:12" x14ac:dyDescent="0.2">
      <c r="A178" s="22" t="s">
        <v>132</v>
      </c>
      <c r="B178" s="23"/>
      <c r="C178" s="24"/>
      <c r="D178" s="24"/>
      <c r="E178" s="24"/>
      <c r="F178" s="24"/>
      <c r="G178" s="24"/>
      <c r="H178" s="24"/>
      <c r="I178" s="24"/>
      <c r="J178" s="24"/>
      <c r="K178" s="24"/>
      <c r="L178" s="25"/>
    </row>
    <row r="179" spans="1:12" x14ac:dyDescent="0.2">
      <c r="A179" s="27" t="s">
        <v>133</v>
      </c>
      <c r="B179" s="38">
        <v>0</v>
      </c>
      <c r="C179" s="39"/>
      <c r="D179" s="39"/>
      <c r="E179" s="39"/>
      <c r="F179" s="39"/>
      <c r="G179" s="39"/>
      <c r="H179" s="39"/>
      <c r="I179" s="39"/>
      <c r="J179" s="39"/>
      <c r="K179" s="39"/>
      <c r="L179" s="30"/>
    </row>
    <row r="180" spans="1:12" x14ac:dyDescent="0.2">
      <c r="A180" s="8" t="s">
        <v>134</v>
      </c>
      <c r="B180" s="81">
        <v>100</v>
      </c>
      <c r="L180" s="9"/>
    </row>
    <row r="181" spans="1:12" x14ac:dyDescent="0.2">
      <c r="A181" s="8" t="s">
        <v>135</v>
      </c>
      <c r="B181" s="18">
        <v>50</v>
      </c>
      <c r="L181" s="9"/>
    </row>
    <row r="182" spans="1:12" x14ac:dyDescent="0.2">
      <c r="A182" s="8" t="s">
        <v>136</v>
      </c>
      <c r="B182" s="18">
        <v>6</v>
      </c>
      <c r="L182" s="9"/>
    </row>
    <row r="183" spans="1:12" x14ac:dyDescent="0.2">
      <c r="A183" s="8" t="s">
        <v>137</v>
      </c>
      <c r="B183" s="18">
        <v>3</v>
      </c>
      <c r="L183" s="9"/>
    </row>
    <row r="184" spans="1:12" x14ac:dyDescent="0.2">
      <c r="A184" s="8" t="s">
        <v>138</v>
      </c>
      <c r="B184" s="18">
        <v>20</v>
      </c>
      <c r="L184" s="9"/>
    </row>
    <row r="185" spans="1:12" x14ac:dyDescent="0.2">
      <c r="A185" s="28" t="s">
        <v>139</v>
      </c>
      <c r="B185" s="40" t="s">
        <v>219</v>
      </c>
      <c r="C185" s="33"/>
      <c r="D185" s="33"/>
      <c r="E185" s="33"/>
      <c r="F185" s="33"/>
      <c r="G185" s="33"/>
      <c r="H185" s="33"/>
      <c r="I185" s="33"/>
      <c r="J185" s="33"/>
      <c r="K185" s="33"/>
      <c r="L185" s="31"/>
    </row>
    <row r="189" spans="1:12" x14ac:dyDescent="0.2">
      <c r="A189" s="9" t="s">
        <v>140</v>
      </c>
      <c r="B189" s="19" t="s">
        <v>141</v>
      </c>
    </row>
    <row r="190" spans="1:12" x14ac:dyDescent="0.2">
      <c r="B190" s="20" t="s">
        <v>142</v>
      </c>
      <c r="D190" s="10"/>
    </row>
    <row r="191" spans="1:12" x14ac:dyDescent="0.2">
      <c r="B191" s="21" t="s">
        <v>143</v>
      </c>
      <c r="C191" s="12"/>
      <c r="D191" s="12"/>
      <c r="E191" s="12"/>
      <c r="F191" s="13"/>
    </row>
    <row r="192" spans="1:12" x14ac:dyDescent="0.2">
      <c r="B192" s="20" t="s">
        <v>144</v>
      </c>
    </row>
    <row r="193" spans="2:6" x14ac:dyDescent="0.2">
      <c r="B193" s="20" t="s">
        <v>145</v>
      </c>
      <c r="E193" t="s">
        <v>146</v>
      </c>
    </row>
    <row r="194" spans="2:6" x14ac:dyDescent="0.2">
      <c r="B194" s="21" t="s">
        <v>147</v>
      </c>
      <c r="C194" s="12"/>
      <c r="D194" s="12"/>
      <c r="E194" s="12" t="s">
        <v>148</v>
      </c>
      <c r="F194" s="13"/>
    </row>
    <row r="195" spans="2:6" x14ac:dyDescent="0.2">
      <c r="B195" s="20" t="s">
        <v>149</v>
      </c>
      <c r="E195" t="s">
        <v>146</v>
      </c>
    </row>
    <row r="196" spans="2:6" x14ac:dyDescent="0.2">
      <c r="B196" s="20" t="s">
        <v>150</v>
      </c>
    </row>
    <row r="197" spans="2:6" x14ac:dyDescent="0.2">
      <c r="B197" s="20" t="s">
        <v>151</v>
      </c>
    </row>
    <row r="198" spans="2:6" x14ac:dyDescent="0.2">
      <c r="B198" s="20" t="s">
        <v>152</v>
      </c>
      <c r="E198" t="s">
        <v>146</v>
      </c>
    </row>
    <row r="199" spans="2:6" x14ac:dyDescent="0.2">
      <c r="B199" s="20" t="s">
        <v>153</v>
      </c>
    </row>
    <row r="200" spans="2:6" x14ac:dyDescent="0.2">
      <c r="B200" s="20" t="s">
        <v>154</v>
      </c>
    </row>
    <row r="201" spans="2:6" x14ac:dyDescent="0.2">
      <c r="B201" s="20" t="s">
        <v>155</v>
      </c>
      <c r="E201" t="s">
        <v>146</v>
      </c>
    </row>
    <row r="202" spans="2:6" x14ac:dyDescent="0.2">
      <c r="B202" s="20" t="s">
        <v>156</v>
      </c>
      <c r="E202" t="s">
        <v>146</v>
      </c>
    </row>
    <row r="203" spans="2:6" x14ac:dyDescent="0.2">
      <c r="B203" s="20" t="s">
        <v>157</v>
      </c>
      <c r="E203" t="s">
        <v>146</v>
      </c>
    </row>
    <row r="204" spans="2:6" x14ac:dyDescent="0.2">
      <c r="B204" s="20" t="s">
        <v>158</v>
      </c>
      <c r="E204" t="s">
        <v>146</v>
      </c>
    </row>
    <row r="205" spans="2:6" x14ac:dyDescent="0.2">
      <c r="B205" s="20" t="s">
        <v>159</v>
      </c>
    </row>
    <row r="206" spans="2:6" x14ac:dyDescent="0.2">
      <c r="B206" s="20" t="s">
        <v>160</v>
      </c>
      <c r="E206" t="s">
        <v>146</v>
      </c>
    </row>
    <row r="207" spans="2:6" x14ac:dyDescent="0.2">
      <c r="B207" s="20" t="s">
        <v>161</v>
      </c>
      <c r="E207" t="s">
        <v>146</v>
      </c>
    </row>
    <row r="208" spans="2:6" x14ac:dyDescent="0.2">
      <c r="B208" s="20" t="s">
        <v>162</v>
      </c>
      <c r="E208" t="s">
        <v>146</v>
      </c>
    </row>
    <row r="209" spans="2:6" x14ac:dyDescent="0.2">
      <c r="B209" s="21" t="s">
        <v>163</v>
      </c>
      <c r="C209" s="12"/>
      <c r="D209" s="12"/>
      <c r="E209" s="12"/>
      <c r="F209" s="13"/>
    </row>
    <row r="210" spans="2:6" x14ac:dyDescent="0.2">
      <c r="B210" s="17" t="s">
        <v>164</v>
      </c>
      <c r="E210" t="s">
        <v>165</v>
      </c>
    </row>
    <row r="212" spans="2:6" x14ac:dyDescent="0.2">
      <c r="B212" s="19" t="s">
        <v>166</v>
      </c>
    </row>
  </sheetData>
  <mergeCells count="77">
    <mergeCell ref="C30:F30"/>
    <mergeCell ref="K30:K44"/>
    <mergeCell ref="L30:L44"/>
    <mergeCell ref="L18:L21"/>
    <mergeCell ref="B16:G16"/>
    <mergeCell ref="H16:I16"/>
    <mergeCell ref="C18:F18"/>
    <mergeCell ref="K18:K21"/>
    <mergeCell ref="C19:F19"/>
    <mergeCell ref="C20:F20"/>
    <mergeCell ref="C21:F21"/>
    <mergeCell ref="C26:F26"/>
    <mergeCell ref="C25:F25"/>
    <mergeCell ref="C31:F31"/>
    <mergeCell ref="K47:K50"/>
    <mergeCell ref="L47:L50"/>
    <mergeCell ref="K54:K57"/>
    <mergeCell ref="L54:L57"/>
    <mergeCell ref="K25:K28"/>
    <mergeCell ref="L25:L28"/>
    <mergeCell ref="C76:F76"/>
    <mergeCell ref="K76:K84"/>
    <mergeCell ref="L76:L84"/>
    <mergeCell ref="C77:F77"/>
    <mergeCell ref="C88:F88"/>
    <mergeCell ref="K88:K93"/>
    <mergeCell ref="L88:L93"/>
    <mergeCell ref="C89:F89"/>
    <mergeCell ref="K61:K67"/>
    <mergeCell ref="L61:L67"/>
    <mergeCell ref="C69:F69"/>
    <mergeCell ref="K69:K73"/>
    <mergeCell ref="L69:L73"/>
    <mergeCell ref="C70:F70"/>
    <mergeCell ref="C61:F61"/>
    <mergeCell ref="C62:F62"/>
    <mergeCell ref="C99:F99"/>
    <mergeCell ref="K111:K112"/>
    <mergeCell ref="L111:L112"/>
    <mergeCell ref="C95:F95"/>
    <mergeCell ref="K95:K101"/>
    <mergeCell ref="L95:L101"/>
    <mergeCell ref="C97:F97"/>
    <mergeCell ref="H114:I114"/>
    <mergeCell ref="C116:F116"/>
    <mergeCell ref="K116:K120"/>
    <mergeCell ref="L116:L120"/>
    <mergeCell ref="C100:F100"/>
    <mergeCell ref="C103:F103"/>
    <mergeCell ref="K103:K109"/>
    <mergeCell ref="L103:L109"/>
    <mergeCell ref="C106:F106"/>
    <mergeCell ref="C123:F123"/>
    <mergeCell ref="K123:K127"/>
    <mergeCell ref="L123:L127"/>
    <mergeCell ref="C130:F130"/>
    <mergeCell ref="K130:K134"/>
    <mergeCell ref="L130:L134"/>
    <mergeCell ref="K137:K138"/>
    <mergeCell ref="L137:L138"/>
    <mergeCell ref="K140:K141"/>
    <mergeCell ref="L140:L141"/>
    <mergeCell ref="K143:K147"/>
    <mergeCell ref="L143:L147"/>
    <mergeCell ref="K163:L164"/>
    <mergeCell ref="K165:L166"/>
    <mergeCell ref="L173:L174"/>
    <mergeCell ref="L175:L176"/>
    <mergeCell ref="K149:K154"/>
    <mergeCell ref="L149:L154"/>
    <mergeCell ref="K157:K158"/>
    <mergeCell ref="L157:L158"/>
    <mergeCell ref="K160:K161"/>
    <mergeCell ref="L160:L161"/>
    <mergeCell ref="K167:L168"/>
    <mergeCell ref="K169:L170"/>
    <mergeCell ref="K171:L172"/>
  </mergeCells>
  <conditionalFormatting sqref="B143:B144">
    <cfRule type="expression" dxfId="335" priority="38">
      <formula>$B$100="No studies available: pH ="</formula>
    </cfRule>
  </conditionalFormatting>
  <conditionalFormatting sqref="K18:K23">
    <cfRule type="expression" dxfId="334" priority="182">
      <formula>$K$18="Manually set to: Grey"</formula>
    </cfRule>
    <cfRule type="expression" dxfId="333" priority="189">
      <formula>$K$18="Manually set to: Red"</formula>
    </cfRule>
    <cfRule type="expression" dxfId="332" priority="190">
      <formula>$K$18="Manually set to: Yellow"</formula>
    </cfRule>
    <cfRule type="expression" dxfId="331" priority="191">
      <formula>$K$18="Manually set to: Green"</formula>
    </cfRule>
    <cfRule type="expression" dxfId="330" priority="206">
      <formula>OR(C18="TLV A1",C18="TLV A2",C18="TLV A3",C18="Carc. 1A: H350: May cause cancer",C18="Carc. 1B: H350: May cause cancer",C18="Carc. 2: H351: Suspected of causing cancer")</formula>
    </cfRule>
    <cfRule type="expression" dxfId="329" priority="207">
      <formula>OR(C18="MAK III 1",C18="MAK III 2",C18="MAK III 3B",C18="IARC 1",C18="IARC 2A",C18="IARC 2B")</formula>
    </cfRule>
    <cfRule type="expression" dxfId="328" priority="208">
      <formula>OR(C18="MAK III 3A",C18="MAK III 4",C18="MAK III 5")</formula>
    </cfRule>
    <cfRule type="expression" dxfId="327" priority="209">
      <formula>OR(C18="TLV A5",C18="IARC 4")</formula>
    </cfRule>
    <cfRule type="expression" dxfId="326" priority="210">
      <formula>OR(C18="IARC 3",C18="TLV A4")</formula>
    </cfRule>
  </conditionalFormatting>
  <conditionalFormatting sqref="K25:K28">
    <cfRule type="expression" dxfId="325" priority="181">
      <formula>$K$25="Manually set to: Grey"</formula>
    </cfRule>
    <cfRule type="expression" dxfId="324" priority="186">
      <formula>$K$25="Manually set to: Green"</formula>
    </cfRule>
    <cfRule type="expression" dxfId="323" priority="187">
      <formula>$K$25="Manually set to: Yellow"</formula>
    </cfRule>
    <cfRule type="expression" dxfId="322" priority="188">
      <formula>$K$25="Manually set to: Red"</formula>
    </cfRule>
  </conditionalFormatting>
  <conditionalFormatting sqref="K30:K31">
    <cfRule type="expression" dxfId="321" priority="59">
      <formula>$K$30="Manually set to: Grey"</formula>
    </cfRule>
    <cfRule type="expression" dxfId="320" priority="60">
      <formula>$K$30="Manually set to: Red"</formula>
    </cfRule>
    <cfRule type="expression" dxfId="319" priority="61">
      <formula>$K$30="Manually set to: Yellow"</formula>
    </cfRule>
    <cfRule type="expression" dxfId="318" priority="62">
      <formula>$K$30="Manually set to: Green"</formula>
    </cfRule>
    <cfRule type="expression" dxfId="317" priority="63">
      <formula>OR($C$30="Muta. 1A: H340: May cause genetic defects",$C$30="Muta. 1B: H340: May cause genetic defects",$C$30="Muta. 2: H341: Suspected of causing genetic defects",$C$30="MAK IX 1",$C$30="MAK IX 2",$C$30="MAK IX 3A",$C$30="MAK IX 3B")</formula>
    </cfRule>
  </conditionalFormatting>
  <conditionalFormatting sqref="K47:K48">
    <cfRule type="expression" dxfId="316" priority="203">
      <formula>AND($B$49="Inhalation NOAEL =",$C$49&gt;=2.5,ISNUMBER($C$49))</formula>
    </cfRule>
    <cfRule type="expression" dxfId="315" priority="204">
      <formula>AND($B$49="Inhalation NOAEL =",$C$49&gt;=0.25,ISNUMBER($C$49))</formula>
    </cfRule>
    <cfRule type="expression" dxfId="314" priority="205">
      <formula>AND($B$49="Inhalation NOAEL =",$C$49&lt;0.25,$C$49&gt;0)</formula>
    </cfRule>
    <cfRule type="expression" dxfId="313" priority="215">
      <formula>AND($B$49="Oral NOAEL =",$C$49&gt;=500,ISNUMBER($C$49))</formula>
    </cfRule>
    <cfRule type="expression" dxfId="312" priority="216">
      <formula>AND($B$49="Oral NOAEL =",$C$49&gt;=50,ISNUMBER($C$49))</formula>
    </cfRule>
    <cfRule type="expression" dxfId="311" priority="217">
      <formula>AND($B$49="Oral NOAEL =",$C$49&lt;50,$C$49&gt;0)</formula>
    </cfRule>
    <cfRule type="expression" dxfId="310" priority="218">
      <formula>$C$47="MAK C"</formula>
    </cfRule>
    <cfRule type="expression" dxfId="309" priority="219">
      <formula>OR($C$47="Repr. 1A: H360: May damage fertility or the unborn child",$C$47="Repr. 1B: H360: May damage fertility or the unborn child",$C$47="Repr. 2: H361: Suspected of damaging fertility or the unborn child",$C$47="MAK A",$C$47="MAK B")</formula>
    </cfRule>
  </conditionalFormatting>
  <conditionalFormatting sqref="K47:K52">
    <cfRule type="expression" dxfId="308" priority="58">
      <formula>$K$47="Manually set to: Grey"</formula>
    </cfRule>
    <cfRule type="expression" dxfId="307" priority="192">
      <formula>$K$47="Manually set to:  Red"</formula>
    </cfRule>
    <cfRule type="expression" dxfId="306" priority="193">
      <formula>$K$47="Manually set to: Yellow"</formula>
    </cfRule>
    <cfRule type="expression" dxfId="305" priority="194">
      <formula>$K$47="Manually set to: Green"</formula>
    </cfRule>
  </conditionalFormatting>
  <conditionalFormatting sqref="K54:K55">
    <cfRule type="expression" dxfId="304" priority="195">
      <formula>AND($B$56="Inhalation NOAEL =",$C$56&gt;=2.5,ISNUMBER($C$56))</formula>
    </cfRule>
    <cfRule type="expression" dxfId="303" priority="196">
      <formula>AND($B$56="Inhalation NOAEL =",$C$56&gt;=0.25,ISNUMBER($C$56))</formula>
    </cfRule>
    <cfRule type="expression" dxfId="302" priority="197">
      <formula>AND($B$56="Inhalation NOAEL =",$C$56&lt;0.25,$C$56&gt;0)</formula>
    </cfRule>
    <cfRule type="expression" dxfId="301" priority="198">
      <formula>AND($B$56="Oral NOAEL =",$C$56&gt;=500,ISNUMBER($C$56))</formula>
    </cfRule>
    <cfRule type="expression" dxfId="300" priority="199">
      <formula>AND($B$56="Oral NOAEL =",$C$56&gt;=50,ISNUMBER($C$56))</formula>
    </cfRule>
    <cfRule type="expression" dxfId="299" priority="200">
      <formula>AND($B$56="Oral NOAEL =",$C$56&lt;50,$C$56&gt;0)</formula>
    </cfRule>
    <cfRule type="expression" dxfId="298" priority="201">
      <formula>$C$54="MAK C"</formula>
    </cfRule>
    <cfRule type="expression" dxfId="297" priority="202">
      <formula>OR($C$54="Repr. 1A: H360: May damage fertility or the unborn child",$C$54="Repr. 1B: H360: May damage fertility or the unborn child",$C$54="Repr. 2: H361: Suspected of damaging fertility or the unborn child",$C$54="MAK A",$C$54="MAK B")</formula>
    </cfRule>
  </conditionalFormatting>
  <conditionalFormatting sqref="K54:K59">
    <cfRule type="expression" dxfId="296" priority="180">
      <formula>$K$54="Manually set to: Grey"</formula>
    </cfRule>
    <cfRule type="expression" dxfId="295" priority="183">
      <formula>$K$54="Manually set to: Red"</formula>
    </cfRule>
    <cfRule type="expression" dxfId="294" priority="184">
      <formula>$K$54="Manually set to: Yellow"</formula>
    </cfRule>
    <cfRule type="expression" dxfId="293" priority="185">
      <formula>$K$54="Manually set to: Green"</formula>
    </cfRule>
  </conditionalFormatting>
  <conditionalFormatting sqref="K61:K67">
    <cfRule type="expression" dxfId="292" priority="92">
      <formula>$K$61="Manually set to: Grey"</formula>
    </cfRule>
    <cfRule type="expression" dxfId="291" priority="93">
      <formula>$K$61="Manually set to: Red"</formula>
    </cfRule>
    <cfRule type="expression" dxfId="290" priority="94">
      <formula>$K$61="Manually set to: Yellow"</formula>
    </cfRule>
    <cfRule type="expression" dxfId="289" priority="95">
      <formula>$K$61="Manually set to: Green"</formula>
    </cfRule>
  </conditionalFormatting>
  <conditionalFormatting sqref="K69:K74">
    <cfRule type="expression" dxfId="288" priority="220">
      <formula>$K$69="Manually set to: Grey"</formula>
    </cfRule>
    <cfRule type="expression" dxfId="287" priority="221">
      <formula>$K$69="Manually set to: Green"</formula>
    </cfRule>
    <cfRule type="expression" dxfId="286" priority="222">
      <formula>$K$69="Manually set to: Yellow"</formula>
    </cfRule>
    <cfRule type="expression" dxfId="285" priority="223">
      <formula>$K$69="Manually set to: Red"</formula>
    </cfRule>
    <cfRule type="expression" dxfId="284" priority="224">
      <formula>OR(AND(ISNUMBER($C$71),$C$71&lt;300),AND(ISNUMBER($C$72),$C$72&lt;10))</formula>
    </cfRule>
    <cfRule type="expression" dxfId="283" priority="225">
      <formula>$C$70="STOT RE 1: H372: Causes damage trough repeated oral exposure"</formula>
    </cfRule>
    <cfRule type="expression" dxfId="282" priority="226">
      <formula>$C$70="STOT SE 1: H370: Causes damage to organs via oral exposure"</formula>
    </cfRule>
    <cfRule type="expression" dxfId="281" priority="227">
      <formula>$C$69="Asp. Tox. 1: H304: May be fatal if swallowed and enters airways"</formula>
    </cfRule>
    <cfRule type="expression" dxfId="280" priority="228">
      <formula>$C$69="Acute Tox. 3: H301: Toxic if swallowed"</formula>
    </cfRule>
    <cfRule type="expression" dxfId="279" priority="229">
      <formula>$C$69="Acute Tox. 2: H300: Fatal if swallowed"</formula>
    </cfRule>
    <cfRule type="expression" dxfId="278" priority="230">
      <formula>$C$69="Acute Tox. 1: H300: Fatal if swallowed"</formula>
    </cfRule>
    <cfRule type="expression" dxfId="277" priority="231">
      <formula>$C$70="STOT RE 1: H372: Causes damage via repeated oral exposure"</formula>
    </cfRule>
    <cfRule type="expression" dxfId="276" priority="232">
      <formula>$C$70="STOT RE 2: H373: May cause damage via repeated oral exposure"</formula>
    </cfRule>
    <cfRule type="expression" dxfId="275" priority="233">
      <formula>$C$69="Acute Tox. 4: H302: Harmful if swallowed"</formula>
    </cfRule>
    <cfRule type="expression" dxfId="274" priority="234">
      <formula>AND($C$71&gt;=2000,$C$72&gt;=100,ISNUMBER($C$71),ISNUMBER($C$72))</formula>
    </cfRule>
    <cfRule type="expression" dxfId="273" priority="235">
      <formula>AND(OR($C$71&gt;=300,$C$72&gt;=10),ISNUMBER($C$71),ISNUMBER($C$72))</formula>
    </cfRule>
  </conditionalFormatting>
  <conditionalFormatting sqref="K76">
    <cfRule type="expression" dxfId="272" priority="262">
      <formula>$K$76="Manually set to: Grey"</formula>
    </cfRule>
    <cfRule type="expression" dxfId="271" priority="263">
      <formula>$K$76="Manually set to: Red"</formula>
    </cfRule>
    <cfRule type="expression" dxfId="270" priority="264">
      <formula>$K$76="Manually set to: Yellow"</formula>
    </cfRule>
    <cfRule type="expression" dxfId="269" priority="265">
      <formula>$K$76="Manually set to: Green"</formula>
    </cfRule>
    <cfRule type="expression" dxfId="268" priority="266">
      <formula>OR($C$76="Acute Tox. 1: H330: Fatal if inhaled",$C$76="Acute Tox. 2: H330: Fatal if inhaled",$C$76="Acute Tox. 3: H331: Toxic if inhaled")</formula>
    </cfRule>
    <cfRule type="expression" dxfId="267" priority="267">
      <formula>OR($C$77="STOT SE 1: H370: Damages organs via inhal. exp.",$C$77="STOT RE 1: H372: Damages organs via repeated inhal. exp.")</formula>
    </cfRule>
    <cfRule type="expression" dxfId="266" priority="268">
      <formula>AND($B$78="Acute: LC50 (gas) =",$C$78&lt;2500,ISNUMBER($C$78))</formula>
    </cfRule>
    <cfRule type="expression" dxfId="265" priority="269">
      <formula>AND($B$78="Acute: LC50 (dust/mist/aerosol) =",$C$78&lt;1,ISNUMBER($C$78))</formula>
    </cfRule>
    <cfRule type="expression" dxfId="264" priority="270">
      <formula>AND($B$78="Acute: LC50 (vapor) =",$C$78&lt;10,ISNUMBER($C$78))</formula>
    </cfRule>
    <cfRule type="expression" dxfId="263" priority="271">
      <formula>AND($B$81="Chronic: LOAEL (gas) =",$C$81&lt;50,ISNUMBER($C$81))</formula>
    </cfRule>
    <cfRule type="expression" dxfId="262" priority="272">
      <formula>AND($B$81="Chronic: LOAEL (vapor) =",$C$81&lt;0.2,ISNUMBER($C$81))</formula>
    </cfRule>
    <cfRule type="expression" dxfId="261" priority="273">
      <formula>AND($B$81="Chronic: LOAEL (dust/mist/aerosol) =",$C$81&lt;0.02,ISNUMBER($C$81))</formula>
    </cfRule>
    <cfRule type="expression" dxfId="260" priority="274">
      <formula>$C$76="Acute Tox. 4: H332: Harmful if inhaled"</formula>
    </cfRule>
    <cfRule type="expression" dxfId="259" priority="275">
      <formula>OR($C$77="STOT SE 2: H371: May damage organs via inhal. exp.",$C$77="STOT RE 2: H373: May damage organs via repeated inhal. exp.",$C$77="STOT SE 3: H336: May cause drowsiness")</formula>
    </cfRule>
    <cfRule type="expression" dxfId="258" priority="276">
      <formula>AND($B$81="Chronic: LOAEL (gas) =",AND($C$81&gt;=50,$C$81&lt;250),ISNUMBER($C$81))</formula>
    </cfRule>
    <cfRule type="expression" dxfId="257" priority="277">
      <formula>AND($B$81="Chronic: LOAEL (vapor) =",AND($C$81&gt;=0.2,$C$81&lt;1),ISNUMBER($C$81))</formula>
    </cfRule>
    <cfRule type="expression" dxfId="256" priority="278">
      <formula>AND($B$81="Chronic: LOAEL (dust/mist/aerosol) =",AND($C$81&gt;=0.02,$C$81&lt;0.2),ISNUMBER($C$81))</formula>
    </cfRule>
    <cfRule type="expression" dxfId="255" priority="279">
      <formula>AND($B$78="Acute: LC50 (gas) =",AND($C$78&gt;=2500,$C$78&lt;20000),ISNUMBER($C$78))</formula>
    </cfRule>
    <cfRule type="expression" dxfId="254" priority="280">
      <formula>AND($B$78="Acute: LC50 (vapor) =",AND($C$78&gt;=10,$C$78&lt;20),ISNUMBER($C$78))</formula>
    </cfRule>
    <cfRule type="expression" dxfId="253" priority="281">
      <formula>AND($B$78="Acute: LC50 (dust/mist/aerosol) =",AND($C$78&gt;=1,$C$78&lt;5),ISNUMBER($C$78))</formula>
    </cfRule>
    <cfRule type="expression" dxfId="252" priority="282">
      <formula>AND($B$81="Chronic: LOAEL (vapor) =",$C$81&gt;=1,ISNUMBER($C$81))</formula>
    </cfRule>
    <cfRule type="expression" dxfId="251" priority="283">
      <formula>AND($B$81="Chronic: LOAEL (gas) =",$C$81&gt;=250,ISNUMBER($C$81))</formula>
    </cfRule>
    <cfRule type="expression" dxfId="250" priority="284">
      <formula>AND($B$81="Chronic: LOAEL (dust/mist/aerosol) =",$C$81&gt;=0.2,ISNUMBER($C$81))</formula>
    </cfRule>
    <cfRule type="expression" dxfId="249" priority="285">
      <formula>AND($B$78="Acute: LC50 (gas) =",$C$78&gt;=20000,ISNUMBER($C$78))</formula>
    </cfRule>
    <cfRule type="expression" dxfId="248" priority="286">
      <formula>AND($B$78="Acute: LC50 (vapor) =",$C$78&gt;=20,ISNUMBER($C$78))</formula>
    </cfRule>
    <cfRule type="expression" dxfId="247" priority="287">
      <formula>AND($B$78="Acute: LC50 (dust/mist/aerosol) =",$C$78&gt;=5,ISNUMBER($C$78))</formula>
    </cfRule>
  </conditionalFormatting>
  <conditionalFormatting sqref="K88:K93">
    <cfRule type="expression" dxfId="246" priority="236">
      <formula>$K$88="Manually set to: Grey"</formula>
    </cfRule>
    <cfRule type="expression" dxfId="245" priority="237">
      <formula>$K$88="Manually set to: Green"</formula>
    </cfRule>
    <cfRule type="expression" dxfId="244" priority="238">
      <formula>$K$88="Manually set to: Yellow"</formula>
    </cfRule>
    <cfRule type="expression" dxfId="243" priority="239">
      <formula>$K$88="Manually set to: Red"</formula>
    </cfRule>
    <cfRule type="expression" dxfId="242" priority="240">
      <formula>OR(AND(ISNUMBER($C$90),$C$90&lt;1000),AND(ISNUMBER($C$91),$C$91&lt;20))</formula>
    </cfRule>
    <cfRule type="expression" dxfId="241" priority="241">
      <formula>$C$89="STOT RE 1: H372: Causes damage via repeated dermal exposure"</formula>
    </cfRule>
    <cfRule type="expression" dxfId="240" priority="242">
      <formula>$C$89="STOT SE 1: H370: Causes damage to organs via oral exposure"</formula>
    </cfRule>
    <cfRule type="expression" dxfId="239" priority="243">
      <formula>$C$89="STOT SE 1: H370: Causes damage to organs via dermal exposure"</formula>
    </cfRule>
    <cfRule type="expression" dxfId="238" priority="244">
      <formula>$C$88="Acute Tox. 3: H311: Toxic in contact with skin"</formula>
    </cfRule>
    <cfRule type="expression" dxfId="237" priority="245">
      <formula>$C$88="Acute Tox. 2: H310: Fatal in contact with skin"</formula>
    </cfRule>
    <cfRule type="expression" dxfId="236" priority="246">
      <formula>$C$88="Acute Tox. 1: H310: Fatal in contact with skin"</formula>
    </cfRule>
    <cfRule type="expression" dxfId="235" priority="247">
      <formula>$C$89="STOT SE 2: H371: May cause damage to organs via dermal exposure"</formula>
    </cfRule>
    <cfRule type="expression" dxfId="234" priority="248">
      <formula>$C$89="STOT RE 2: H373: May cause damage via repeated dermal exposure"</formula>
    </cfRule>
    <cfRule type="expression" dxfId="233" priority="249">
      <formula>$C$88="Acute Tox. 4: H312: Harmful in contact with skin"</formula>
    </cfRule>
    <cfRule type="expression" dxfId="232" priority="250">
      <formula>OR(AND(ISNUMBER($C$90),$C$90&gt;=1000,$C$90&lt;2000),AND(ISNUMBER($C$91),$C$91&gt;=20,$C$91&lt;200))</formula>
    </cfRule>
    <cfRule type="expression" dxfId="231" priority="251">
      <formula>OR(AND(ISNUMBER($C$90),$C$90&gt;=2000),AND(ISNUMBER($C$91),$C$91&gt;=200))</formula>
    </cfRule>
  </conditionalFormatting>
  <conditionalFormatting sqref="K95:K96">
    <cfRule type="expression" dxfId="230" priority="53">
      <formula>$K$95="Manually set to: Grey"</formula>
    </cfRule>
    <cfRule type="expression" dxfId="229" priority="54">
      <formula>$K$95="Manually set to: Green"</formula>
    </cfRule>
    <cfRule type="expression" dxfId="228" priority="55">
      <formula>$K$95="Manually set to: Yellow"</formula>
    </cfRule>
    <cfRule type="expression" dxfId="227" priority="56">
      <formula>$K$95="Manually set to: Red"</formula>
    </cfRule>
    <cfRule type="expression" dxfId="226" priority="331">
      <formula>$C$97="Eye damaging according to testing"</formula>
    </cfRule>
    <cfRule type="expression" dxfId="225" priority="332">
      <formula>$C$95="Skin corrosive according to testing"</formula>
    </cfRule>
    <cfRule type="expression" dxfId="224" priority="333">
      <formula>$C$99="Corrosive according to testing"</formula>
    </cfRule>
    <cfRule type="expression" dxfId="223" priority="334">
      <formula>$C$97="Eye Dam. 1: H318 Causes serious eye damage"</formula>
    </cfRule>
    <cfRule type="expression" dxfId="222" priority="335">
      <formula>$C$95="Skin Corr. 1: H314 Causes severe skin burns and eye damage"</formula>
    </cfRule>
    <cfRule type="expression" dxfId="221" priority="336">
      <formula>$C$99="STOT SE 3: H335 May cause respiratory tract irritation"</formula>
    </cfRule>
    <cfRule type="expression" dxfId="220" priority="337">
      <formula>$C$99="Irritating according to testing"</formula>
    </cfRule>
    <cfRule type="expression" dxfId="219" priority="338">
      <formula>$C$97="Eye irritating according to testing"</formula>
    </cfRule>
    <cfRule type="expression" dxfId="218" priority="339">
      <formula>$C$95="Skin irritating according to testing"</formula>
    </cfRule>
    <cfRule type="expression" dxfId="217" priority="340">
      <formula>$C$97="Eye irrit. 2b: H320 Causes eye irritation"</formula>
    </cfRule>
    <cfRule type="expression" dxfId="216" priority="341">
      <formula>$C$97="Eye irrit. 2a: H319 Causes serious eye irritation"</formula>
    </cfRule>
    <cfRule type="expression" dxfId="215" priority="342">
      <formula>$C$95="Skin Irrit. 2: H315 Causes skin irritation"</formula>
    </cfRule>
    <cfRule type="expression" dxfId="214" priority="343">
      <formula>$C$95="Not irritating according to testing"</formula>
    </cfRule>
    <cfRule type="expression" dxfId="213" priority="344">
      <formula>$C$99="Not irritating according to testing"</formula>
    </cfRule>
    <cfRule type="expression" dxfId="212" priority="345">
      <formula>$C$97="Not irritating according to testing"</formula>
    </cfRule>
  </conditionalFormatting>
  <conditionalFormatting sqref="K95:K101">
    <cfRule type="expression" dxfId="211" priority="330">
      <formula>AND(ISNUMBER($C$100),$B$100="No studies available: pH =",OR($C$100&lt;=2,$C$100&gt;=11.5))</formula>
    </cfRule>
  </conditionalFormatting>
  <conditionalFormatting sqref="K103:K109">
    <cfRule type="expression" dxfId="210" priority="48">
      <formula>$K$103="Manually set to: Grey"</formula>
    </cfRule>
    <cfRule type="expression" dxfId="209" priority="49">
      <formula>$K$103="Manually set to: Green"</formula>
    </cfRule>
    <cfRule type="expression" dxfId="208" priority="252">
      <formula>$K$103="Manually set to: Yellow"</formula>
    </cfRule>
    <cfRule type="expression" dxfId="207" priority="253">
      <formula>$K$103="Manually set to: Red"</formula>
    </cfRule>
    <cfRule type="expression" dxfId="206" priority="254">
      <formula>$C$103="Sensitizing according to testing"</formula>
    </cfRule>
    <cfRule type="expression" dxfId="205" priority="255">
      <formula>$C$103="MAK Sh"</formula>
    </cfRule>
    <cfRule type="expression" dxfId="204" priority="256">
      <formula>$C$106="MAK Sa"</formula>
    </cfRule>
    <cfRule type="expression" dxfId="203" priority="257">
      <formula>$C$106="Sensitizing according to testing"</formula>
    </cfRule>
    <cfRule type="expression" dxfId="202" priority="258">
      <formula>$C$106="Resp. Sens. 1: H334 May cause allergy or asthma symptoms or breathing difficulties if inhaled"</formula>
    </cfRule>
    <cfRule type="expression" dxfId="201" priority="259">
      <formula>$C$103="Skin Sens. 1: H317 May cause an allergic skin reaction"</formula>
    </cfRule>
    <cfRule type="expression" dxfId="200" priority="260">
      <formula>$C$103="Not sensitzing according to testing"</formula>
    </cfRule>
    <cfRule type="expression" dxfId="199" priority="261">
      <formula>$C$106="Not sensitzing according to testing"</formula>
    </cfRule>
  </conditionalFormatting>
  <conditionalFormatting sqref="K111:K112">
    <cfRule type="expression" dxfId="198" priority="88">
      <formula>$K$111="Manually set to: Grey"</formula>
    </cfRule>
    <cfRule type="expression" dxfId="197" priority="89">
      <formula>$K$111="Manually set to: Green"</formula>
    </cfRule>
    <cfRule type="expression" dxfId="196" priority="90">
      <formula>$K$111="Manually set to: Yellow"</formula>
    </cfRule>
    <cfRule type="expression" dxfId="195" priority="91">
      <formula>$K$111="Manually set to: Red"</formula>
    </cfRule>
  </conditionalFormatting>
  <conditionalFormatting sqref="K116">
    <cfRule type="expression" dxfId="194" priority="31">
      <formula>$K$116="Manually set to: Grey"</formula>
    </cfRule>
    <cfRule type="expression" dxfId="193" priority="37">
      <formula>$K$116="Manually set to: Green"</formula>
    </cfRule>
    <cfRule type="expression" dxfId="192" priority="52">
      <formula>$K$116="Manually set to: Yellow"</formula>
    </cfRule>
    <cfRule type="expression" dxfId="191" priority="288">
      <formula>$K$116="Manually set to: Red"</formula>
    </cfRule>
    <cfRule type="expression" dxfId="190" priority="289">
      <formula>AND($C$119&lt;=0.001,ISNUMBER($C$119))</formula>
    </cfRule>
    <cfRule type="expression" dxfId="189" priority="290">
      <formula>OR($C$116="Aqua. Acute 1: H400",$C$116="Aqua. Chronic 1: H410",$C$116="Aqua. Chronic 2: H411",$C$116="Aqua. Chronic 3: H412",$C$116="Aqua. Chronic 4: H413")</formula>
    </cfRule>
    <cfRule type="expression" dxfId="188" priority="291">
      <formula>AND($C$117&lt;10,ISNUMBER($C$117))</formula>
    </cfRule>
    <cfRule type="expression" dxfId="187" priority="292">
      <formula>AND($C$118&lt;1,ISNUMBER($C$118))</formula>
    </cfRule>
    <cfRule type="expression" dxfId="186" priority="293">
      <formula>AND($C$117&gt;=100,ISNUMBER($C$117),$C$118&gt;=10,ISNUMBER($C$118))</formula>
    </cfRule>
    <cfRule type="expression" dxfId="185" priority="294">
      <formula>OR($C$116="Aqua. Acute 2: H401",$C$116="Aqua. Acute 3: H402")</formula>
    </cfRule>
    <cfRule type="expression" dxfId="184" priority="295">
      <formula>AND($C$118&gt;=1,ISNUMBER($C$118),$C$117&gt;=10,ISNUMBER($C$117))</formula>
    </cfRule>
    <cfRule type="expression" dxfId="183" priority="296">
      <formula>AND($C$117&gt;=100,ISNUMBER($C$117))</formula>
    </cfRule>
    <cfRule type="expression" dxfId="182" priority="297">
      <formula>AND($C$118&gt;=10,ISNUMBER($C$118))</formula>
    </cfRule>
  </conditionalFormatting>
  <conditionalFormatting sqref="K123">
    <cfRule type="expression" dxfId="181" priority="30">
      <formula>$K$123="Manually set to: Grey"</formula>
    </cfRule>
    <cfRule type="expression" dxfId="180" priority="36">
      <formula>$K$123="Manually set to: Green"</formula>
    </cfRule>
    <cfRule type="expression" dxfId="179" priority="51">
      <formula>$K$123="Manually set to: Yellow"</formula>
    </cfRule>
    <cfRule type="expression" dxfId="178" priority="298">
      <formula>$K$123="Manually set to: Red"</formula>
    </cfRule>
    <cfRule type="expression" dxfId="177" priority="299">
      <formula>AND($C$126&lt;=0.001,ISNUMBER($C$126))</formula>
    </cfRule>
    <cfRule type="expression" dxfId="176" priority="300">
      <formula>OR($C$123="Aqua. Acute 1: H400",$C$123="Aqua. Chronic 1: H410",$C$123="Aqua. Chronic 2: H411",$C$123="Aqua. Chronic 3: H412",$C$123="Aqua. Chronic 4: H413")</formula>
    </cfRule>
    <cfRule type="expression" dxfId="175" priority="301">
      <formula>AND($C$124&lt;10,ISNUMBER($C$124))</formula>
    </cfRule>
    <cfRule type="expression" dxfId="174" priority="302">
      <formula>AND($C$125&lt;1,ISNUMBER($C$125))</formula>
    </cfRule>
    <cfRule type="expression" dxfId="173" priority="303">
      <formula>AND($C$125&gt;=10,ISNUMBER($C$125),$C$124&gt;=100,ISNUMBER($C$124))</formula>
    </cfRule>
    <cfRule type="expression" dxfId="172" priority="304">
      <formula>AND($C$124&gt;=10,ISNUMBER($C$124),$C$125&gt;=1,ISNUMBER($C$125))</formula>
    </cfRule>
    <cfRule type="expression" dxfId="171" priority="305">
      <formula>OR($C$123="Aqua. Acute 2: H401",$C$123="Aqua. Acute 3: H402")</formula>
    </cfRule>
    <cfRule type="expression" dxfId="170" priority="306">
      <formula>AND($C$124&gt;=100,ISNUMBER($C$124))</formula>
    </cfRule>
    <cfRule type="expression" dxfId="169" priority="307">
      <formula>AND($C$125&gt;=10,ISNUMBER($C$125))</formula>
    </cfRule>
  </conditionalFormatting>
  <conditionalFormatting sqref="K130">
    <cfRule type="expression" dxfId="168" priority="29">
      <formula>$K$130="Manually set to: Grey"</formula>
    </cfRule>
    <cfRule type="expression" dxfId="167" priority="50">
      <formula>$K$130="Manually set to: Green"</formula>
    </cfRule>
    <cfRule type="expression" dxfId="166" priority="308">
      <formula>$K$130="Manually set to: Yellow"</formula>
    </cfRule>
    <cfRule type="expression" dxfId="165" priority="309">
      <formula>$K$130="Manually set to: Red"</formula>
    </cfRule>
    <cfRule type="expression" dxfId="164" priority="310">
      <formula>AND($C$133&lt;=0.001,ISNUMBER($C$133))</formula>
    </cfRule>
    <cfRule type="expression" dxfId="163" priority="311">
      <formula>OR($C$130="Aqua. Acute 1: H400",$C$130="Aqua. Chronic 1: H410",$C$130="Aqua. Chronic 2: H411",$C$130="Aqua. Chronic 3: H412",$C$130="Aqua. Chronic 4: H413")</formula>
    </cfRule>
    <cfRule type="expression" dxfId="162" priority="312">
      <formula>AND($C$131&lt;10,ISNUMBER($C$131))</formula>
    </cfRule>
    <cfRule type="expression" dxfId="161" priority="313">
      <formula>AND($C$132&lt;1,ISNUMBER($C$132))</formula>
    </cfRule>
    <cfRule type="expression" dxfId="160" priority="314">
      <formula>AND($C$131&gt;=100,ISNUMBER($C$131),$C$132&gt;=10,ISNUMBER($C$132))</formula>
    </cfRule>
    <cfRule type="expression" dxfId="159" priority="315">
      <formula>OR($C$130="Aqua. Acute 2: H401",$C$130="Aqua. Acute 3: H402")</formula>
    </cfRule>
    <cfRule type="expression" dxfId="158" priority="316">
      <formula>AND($C$131&gt;=10,ISNUMBER($C$131),$C$132&gt;=1,ISNUMBER($C$132))</formula>
    </cfRule>
    <cfRule type="expression" dxfId="157" priority="317">
      <formula>AND($C$131&gt;=100,ISNUMBER($C$131))</formula>
    </cfRule>
    <cfRule type="expression" dxfId="156" priority="318">
      <formula>AND($C$132&gt;=10,ISNUMBER($C$132))</formula>
    </cfRule>
  </conditionalFormatting>
  <conditionalFormatting sqref="K137:K138">
    <cfRule type="expression" dxfId="155" priority="84">
      <formula>$K$137="Manually set to: Grey"</formula>
    </cfRule>
    <cfRule type="expression" dxfId="154" priority="85">
      <formula>$K$137="Manually set to: Green"</formula>
    </cfRule>
    <cfRule type="expression" dxfId="153" priority="86">
      <formula>$K$137="Manually set to: Yellow"</formula>
    </cfRule>
    <cfRule type="expression" dxfId="152" priority="87">
      <formula>$K$137="Manually set to: Red"</formula>
    </cfRule>
  </conditionalFormatting>
  <conditionalFormatting sqref="K140:K141">
    <cfRule type="expression" dxfId="151" priority="80">
      <formula>$K$140="Manually set to: Grey"</formula>
    </cfRule>
    <cfRule type="expression" dxfId="150" priority="81">
      <formula>$K$140="Manually set to: Green"</formula>
    </cfRule>
    <cfRule type="expression" dxfId="149" priority="82">
      <formula>$K$140="Manually set to: Yellow"</formula>
    </cfRule>
    <cfRule type="expression" dxfId="148" priority="83">
      <formula>$K$140="Manually set to: Red"</formula>
    </cfRule>
  </conditionalFormatting>
  <conditionalFormatting sqref="K143:K144">
    <cfRule type="expression" dxfId="147" priority="32">
      <formula>$K$143="Manually set to: Purple"</formula>
    </cfRule>
    <cfRule type="expression" dxfId="146" priority="33">
      <formula>$K$143="Manually set to: Grey"</formula>
    </cfRule>
    <cfRule type="expression" dxfId="145" priority="34">
      <formula>$K$143="Manually set to: Green"</formula>
    </cfRule>
    <cfRule type="expression" dxfId="144" priority="35">
      <formula>$K$143="Manually set to: Yellow"</formula>
    </cfRule>
    <cfRule type="expression" dxfId="143" priority="319">
      <formula>$K$143="Manually set to: Red"</formula>
    </cfRule>
    <cfRule type="expression" dxfId="142" priority="320">
      <formula>AND($C$146&gt;=1000,ISNUMBER($C$146))</formula>
    </cfRule>
    <cfRule type="expression" dxfId="141" priority="321">
      <formula>AND($C$145&lt;2,ISNUMBER($C$145))</formula>
    </cfRule>
    <cfRule type="expression" dxfId="140" priority="322">
      <formula>AND($B$143="BCF/BAF (experimental):",$C$143&gt;5000,ISNUMBER($C$143))</formula>
    </cfRule>
    <cfRule type="expression" dxfId="139" priority="323">
      <formula>AND($B$143="BCF/BAF (QSAR):",$C$143&gt;5000,$C$145&lt;6,ISNUMBER($C$143),ISNUMBER($C$145))</formula>
    </cfRule>
    <cfRule type="expression" dxfId="138" priority="324">
      <formula>AND($B$143="BCF/BAF (QSAR):",$C$143&gt;2000,$C$143&lt;=5000,$C$145&lt;6,ISNUMBER($C$143),ISNUMBER($C$145))</formula>
    </cfRule>
    <cfRule type="expression" dxfId="137" priority="325">
      <formula>AND($B$143="BCF/BAF (experimental):",$C$143&gt;2000,ISNUMBER($C$143))</formula>
    </cfRule>
    <cfRule type="expression" dxfId="136" priority="326">
      <formula>AND($B$143="BCF/BAF (experimental):",$C$143&gt;500,ISNUMBER($C$143))</formula>
    </cfRule>
    <cfRule type="expression" dxfId="135" priority="327">
      <formula>AND($B$143="BCF/BAF (QSAR):",$C$143&gt;500,$C$145&lt;6,ISNUMBER($C$143),ISNUMBER($C$145))</formula>
    </cfRule>
    <cfRule type="expression" dxfId="134" priority="328">
      <formula>AND($B$143="BCF/BAF (QSAR):",$C$143&lt;=500,$C$145&lt;6,ISNUMBER($C$143),ISNUMBER($C$145))</formula>
    </cfRule>
    <cfRule type="expression" dxfId="133" priority="329">
      <formula>AND($B$143="BCF/BAF (experimental):",$C$143&lt;=500,ISNUMBER($C$143))</formula>
    </cfRule>
  </conditionalFormatting>
  <conditionalFormatting sqref="K149:K155">
    <cfRule type="expression" dxfId="132" priority="47">
      <formula>$K$149="Manually set to: Purple"</formula>
    </cfRule>
    <cfRule type="expression" dxfId="131" priority="346">
      <formula>$K$149="Manually set to: Grey"</formula>
    </cfRule>
    <cfRule type="expression" dxfId="130" priority="347">
      <formula>$K$149="Manually set to: Green"</formula>
    </cfRule>
    <cfRule type="expression" dxfId="129" priority="348">
      <formula>$K$149="Manually set to: Yellow"</formula>
    </cfRule>
    <cfRule type="expression" dxfId="128" priority="349">
      <formula>$K$149="Manually set to: Red"</formula>
    </cfRule>
    <cfRule type="expression" dxfId="127" priority="350" stopIfTrue="1">
      <formula>AND($B$149="% DOC biodegradation after 28 days:",$D$149&lt;20,ISNUMBER($D$149))</formula>
    </cfRule>
    <cfRule type="expression" dxfId="126" priority="351">
      <formula>AND($B$149="% ThOD biodegradation after 28 days:",$D$149&lt;20,ISNUMBER($D$149))</formula>
    </cfRule>
    <cfRule type="expression" dxfId="125" priority="352">
      <formula>$B$149="Substance is inherently biodegradable"</formula>
    </cfRule>
    <cfRule type="expression" dxfId="124" priority="353">
      <formula>AND($B$149="% ThOD biodegradation after 28 days:",$D$149&lt;60,$D$149&gt;=20,ISNUMBER($D$149))</formula>
    </cfRule>
    <cfRule type="expression" dxfId="123" priority="354">
      <formula>AND($B$149="% DOC biodegradation after 28 days:",$D$149&lt;70,$D$149&gt;=20,ISNUMBER($D$149))</formula>
    </cfRule>
    <cfRule type="expression" dxfId="122" priority="355">
      <formula>AND($B$149="% ThOD biodegradation after 28 days:",$D$149&gt;=60,ISNUMBER($D$149))</formula>
    </cfRule>
    <cfRule type="expression" dxfId="121" priority="356">
      <formula>AND($B$149="% DOC biodegradation after 28 days:",$D$149&gt;=70,ISNUMBER($D$149))</formula>
    </cfRule>
  </conditionalFormatting>
  <conditionalFormatting sqref="K157:K158">
    <cfRule type="expression" dxfId="120" priority="76">
      <formula>$K$157="Manually set to: Grey"</formula>
    </cfRule>
    <cfRule type="expression" dxfId="119" priority="77">
      <formula>$K$157="Manually set to: Green"</formula>
    </cfRule>
    <cfRule type="expression" dxfId="118" priority="78">
      <formula>$K$157="Manually set to: Yellow"</formula>
    </cfRule>
    <cfRule type="expression" dxfId="117" priority="79">
      <formula>$K$157="Manually set to: Red"</formula>
    </cfRule>
  </conditionalFormatting>
  <conditionalFormatting sqref="K160:K161">
    <cfRule type="expression" dxfId="116" priority="72">
      <formula>$K$160="Manually set to: Grey"</formula>
    </cfRule>
    <cfRule type="expression" dxfId="115" priority="73">
      <formula>$K$160="Manually set to: Green"</formula>
    </cfRule>
    <cfRule type="expression" dxfId="114" priority="74">
      <formula>$K$160="Manually set to: Yellow"</formula>
    </cfRule>
    <cfRule type="expression" dxfId="113" priority="75">
      <formula>$K$160="Manually set to: Red"</formula>
    </cfRule>
  </conditionalFormatting>
  <conditionalFormatting sqref="K163">
    <cfRule type="expression" dxfId="112" priority="9">
      <formula>$K$163="Manually set to: Grey"</formula>
    </cfRule>
    <cfRule type="expression" dxfId="111" priority="10">
      <formula>$K$163="Manually set to: Red"</formula>
    </cfRule>
    <cfRule type="expression" dxfId="110" priority="11">
      <formula>$K$163="Manually set to: Yellow"</formula>
    </cfRule>
    <cfRule type="expression" dxfId="109" priority="12">
      <formula>$K$163="Manually set to: Green"</formula>
    </cfRule>
  </conditionalFormatting>
  <conditionalFormatting sqref="K165">
    <cfRule type="expression" dxfId="108" priority="64">
      <formula>$K$165="Manually set to: Grey"</formula>
    </cfRule>
    <cfRule type="expression" dxfId="107" priority="65">
      <formula>$K$165="Manually set to: Red"</formula>
    </cfRule>
    <cfRule type="expression" dxfId="106" priority="66">
      <formula>$K$165="Manually set to: Yellow"</formula>
    </cfRule>
    <cfRule type="expression" dxfId="105" priority="67">
      <formula>$K$165="Manually set to: Green"</formula>
    </cfRule>
  </conditionalFormatting>
  <conditionalFormatting sqref="K167">
    <cfRule type="expression" dxfId="104" priority="13">
      <formula>$K$163="Manually set to: Grey"</formula>
    </cfRule>
    <cfRule type="expression" dxfId="103" priority="14">
      <formula>$K$163="Manually set to: Red"</formula>
    </cfRule>
    <cfRule type="expression" dxfId="102" priority="15">
      <formula>$K$163="Manually set to: Yellow"</formula>
    </cfRule>
    <cfRule type="expression" dxfId="101" priority="16">
      <formula>$K$163="Manually set to: Green"</formula>
    </cfRule>
  </conditionalFormatting>
  <conditionalFormatting sqref="K169">
    <cfRule type="expression" dxfId="100" priority="5">
      <formula>$K$163="Manually set to: Grey"</formula>
    </cfRule>
    <cfRule type="expression" dxfId="99" priority="6">
      <formula>$K$163="Manually set to: Red"</formula>
    </cfRule>
    <cfRule type="expression" dxfId="98" priority="7">
      <formula>$K$163="Manually set to: Yellow"</formula>
    </cfRule>
    <cfRule type="expression" dxfId="97" priority="8">
      <formula>$K$163="Manually set to: Green"</formula>
    </cfRule>
  </conditionalFormatting>
  <conditionalFormatting sqref="K171">
    <cfRule type="expression" dxfId="96" priority="1">
      <formula>$K$163="Manually set to: Grey"</formula>
    </cfRule>
    <cfRule type="expression" dxfId="95" priority="2">
      <formula>$K$163="Manually set to: Red"</formula>
    </cfRule>
    <cfRule type="expression" dxfId="94" priority="3">
      <formula>$K$163="Manually set to: Yellow"</formula>
    </cfRule>
    <cfRule type="expression" dxfId="93" priority="4">
      <formula>$K$163="Manually set to: Green"</formula>
    </cfRule>
  </conditionalFormatting>
  <conditionalFormatting sqref="L18:L23">
    <cfRule type="expression" dxfId="92" priority="176">
      <formula>$L$18="Manually set to: Grey"</formula>
    </cfRule>
    <cfRule type="expression" dxfId="91" priority="177">
      <formula>$L$18="Manually set to: Red"</formula>
    </cfRule>
    <cfRule type="expression" dxfId="90" priority="178">
      <formula>$L$18="Manually set to: Yellow"</formula>
    </cfRule>
    <cfRule type="expression" dxfId="89" priority="179">
      <formula>$L$18="Manually set to: Green"</formula>
    </cfRule>
  </conditionalFormatting>
  <conditionalFormatting sqref="L25:L28">
    <cfRule type="expression" dxfId="88" priority="172">
      <formula>$L$25="Manually set to: Grey"</formula>
    </cfRule>
    <cfRule type="expression" dxfId="87" priority="173">
      <formula>$L$25="Manually set to: Red"</formula>
    </cfRule>
    <cfRule type="expression" dxfId="86" priority="174">
      <formula>$L$25="Manually set to: Yellow"</formula>
    </cfRule>
    <cfRule type="expression" dxfId="85" priority="175">
      <formula>$L$25="Manually set to: Green"</formula>
    </cfRule>
  </conditionalFormatting>
  <conditionalFormatting sqref="L30:L31">
    <cfRule type="expression" dxfId="84" priority="168">
      <formula>$L$30="Manually set to: Grey"</formula>
    </cfRule>
    <cfRule type="expression" dxfId="83" priority="169">
      <formula>$L$30="Manually set to: Red"</formula>
    </cfRule>
    <cfRule type="expression" dxfId="82" priority="170">
      <formula>$L$30="Manually set to: Yellow"</formula>
    </cfRule>
    <cfRule type="expression" dxfId="81" priority="171">
      <formula>$L$30="Manually set to: Green"</formula>
    </cfRule>
  </conditionalFormatting>
  <conditionalFormatting sqref="L47:L48">
    <cfRule type="expression" dxfId="80" priority="164">
      <formula>$L$47="Manually set to: Grey"</formula>
    </cfRule>
    <cfRule type="expression" dxfId="79" priority="165">
      <formula>$L$47="Manually set to: Red"</formula>
    </cfRule>
    <cfRule type="expression" dxfId="78" priority="166">
      <formula>$L$47="Manually set to: Yellow"</formula>
    </cfRule>
    <cfRule type="expression" dxfId="77" priority="167">
      <formula>$L$47="Manually set to: Green"</formula>
    </cfRule>
  </conditionalFormatting>
  <conditionalFormatting sqref="L54:L55">
    <cfRule type="expression" dxfId="76" priority="160">
      <formula>$L$54="Manually set to: Grey"</formula>
    </cfRule>
    <cfRule type="expression" dxfId="75" priority="161">
      <formula>$L$54="Manually set to: Red"</formula>
    </cfRule>
    <cfRule type="expression" dxfId="74" priority="162">
      <formula>$L$54="Manually set to: Yellow"</formula>
    </cfRule>
    <cfRule type="expression" dxfId="73" priority="163">
      <formula>$L$54="Manually set to: Green"</formula>
    </cfRule>
  </conditionalFormatting>
  <conditionalFormatting sqref="L61:L67">
    <cfRule type="expression" dxfId="72" priority="156">
      <formula>$L$61="Manually set to: Grey"</formula>
    </cfRule>
    <cfRule type="expression" dxfId="71" priority="157">
      <formula>$L$61="Manually set to: Red"</formula>
    </cfRule>
    <cfRule type="expression" dxfId="70" priority="158">
      <formula>$L$61="Manually set to: Yellow"</formula>
    </cfRule>
    <cfRule type="expression" dxfId="69" priority="159">
      <formula>$L$61="Manually set to: Green"</formula>
    </cfRule>
  </conditionalFormatting>
  <conditionalFormatting sqref="L69">
    <cfRule type="expression" dxfId="68" priority="152">
      <formula>$L$69="Manually set to: Grey"</formula>
    </cfRule>
    <cfRule type="expression" dxfId="67" priority="153">
      <formula>$L$69="Manually set to: Red"</formula>
    </cfRule>
    <cfRule type="expression" dxfId="66" priority="154">
      <formula>$L$69="Manually set to: Yellow"</formula>
    </cfRule>
    <cfRule type="expression" dxfId="65" priority="155">
      <formula>$L$69="Manually set to: Green"</formula>
    </cfRule>
  </conditionalFormatting>
  <conditionalFormatting sqref="L76">
    <cfRule type="expression" dxfId="64" priority="148">
      <formula>$L$76="Manually set to: Grey"</formula>
    </cfRule>
    <cfRule type="expression" dxfId="63" priority="149">
      <formula>$L$76="Manually set to: Red"</formula>
    </cfRule>
    <cfRule type="expression" dxfId="62" priority="150">
      <formula>$L$76="Manually set to: Yellow"</formula>
    </cfRule>
    <cfRule type="expression" dxfId="61" priority="151">
      <formula>$L$76="Manually set to: Green"</formula>
    </cfRule>
  </conditionalFormatting>
  <conditionalFormatting sqref="L88">
    <cfRule type="expression" dxfId="60" priority="144">
      <formula>$L$88="Manually set to: Grey"</formula>
    </cfRule>
    <cfRule type="expression" dxfId="59" priority="145">
      <formula>$L$88="Manually set to: Red"</formula>
    </cfRule>
    <cfRule type="expression" dxfId="58" priority="146">
      <formula>$L$88="Manually set to: Yellow"</formula>
    </cfRule>
    <cfRule type="expression" dxfId="57" priority="147">
      <formula>$L$88="Manually set to: Green"</formula>
    </cfRule>
  </conditionalFormatting>
  <conditionalFormatting sqref="L95:L96">
    <cfRule type="expression" dxfId="56" priority="140">
      <formula>$L$95="Manually set to: Grey"</formula>
    </cfRule>
    <cfRule type="expression" dxfId="55" priority="141">
      <formula>$L$95="Manually set to: Red"</formula>
    </cfRule>
    <cfRule type="expression" dxfId="54" priority="142">
      <formula>$L$95="Manually set to: Yellow"</formula>
    </cfRule>
    <cfRule type="expression" dxfId="53" priority="143">
      <formula>$L$95="Manually set to: Green"</formula>
    </cfRule>
  </conditionalFormatting>
  <conditionalFormatting sqref="L103:L105">
    <cfRule type="expression" dxfId="52" priority="136">
      <formula>$L$103="Manually set to: Grey"</formula>
    </cfRule>
    <cfRule type="expression" dxfId="51" priority="137">
      <formula>$L$103="Manually set to: Red"</formula>
    </cfRule>
    <cfRule type="expression" dxfId="50" priority="138">
      <formula>$L$103="Manually set to: Yellow"</formula>
    </cfRule>
    <cfRule type="expression" dxfId="49" priority="139">
      <formula>$L$103="Manually set to: Green"</formula>
    </cfRule>
  </conditionalFormatting>
  <conditionalFormatting sqref="L111:L113">
    <cfRule type="expression" dxfId="48" priority="132">
      <formula>$L$111="Manually set to: Grey"</formula>
    </cfRule>
    <cfRule type="expression" dxfId="47" priority="133">
      <formula>$L$111="Manually set to: Red"</formula>
    </cfRule>
    <cfRule type="expression" dxfId="46" priority="134">
      <formula>$L$111="Manually set to: Yellow"</formula>
    </cfRule>
    <cfRule type="expression" dxfId="45" priority="135">
      <formula>$L$111="Manually set to: Green"</formula>
    </cfRule>
  </conditionalFormatting>
  <conditionalFormatting sqref="L116">
    <cfRule type="expression" dxfId="44" priority="128">
      <formula>$L$116="Manually set to: Grey"</formula>
    </cfRule>
    <cfRule type="expression" dxfId="43" priority="129">
      <formula>$L$116="Manually set to: Red"</formula>
    </cfRule>
    <cfRule type="expression" dxfId="42" priority="130">
      <formula>$L$116="Manually set to: Yellow"</formula>
    </cfRule>
    <cfRule type="expression" dxfId="41" priority="131">
      <formula>$L$116="Manually set to: Green"</formula>
    </cfRule>
  </conditionalFormatting>
  <conditionalFormatting sqref="L123">
    <cfRule type="expression" dxfId="40" priority="124">
      <formula>$L$123="Manually set to: Grey"</formula>
    </cfRule>
    <cfRule type="expression" dxfId="39" priority="125">
      <formula>$L$123="Manually set to: Red"</formula>
    </cfRule>
    <cfRule type="expression" dxfId="38" priority="126">
      <formula>$L$123="Manually set to: Yellow"</formula>
    </cfRule>
    <cfRule type="expression" dxfId="37" priority="127">
      <formula>$L$123="Manually set to: Green"</formula>
    </cfRule>
  </conditionalFormatting>
  <conditionalFormatting sqref="L130">
    <cfRule type="expression" dxfId="36" priority="120">
      <formula>$L$130="Manually set to: Grey"</formula>
    </cfRule>
    <cfRule type="expression" dxfId="35" priority="121">
      <formula>$L$130="Manually set to: Red"</formula>
    </cfRule>
    <cfRule type="expression" dxfId="34" priority="122">
      <formula>$L$130="Manually set to: Yellow"</formula>
    </cfRule>
    <cfRule type="expression" dxfId="33" priority="123">
      <formula>$L$130="Manually set to: Green"</formula>
    </cfRule>
  </conditionalFormatting>
  <conditionalFormatting sqref="L137:L138">
    <cfRule type="expression" dxfId="32" priority="116">
      <formula>$L$137="Manually set to: Grey"</formula>
    </cfRule>
    <cfRule type="expression" dxfId="31" priority="117">
      <formula>$L$137="Manually set to: Red"</formula>
    </cfRule>
    <cfRule type="expression" dxfId="30" priority="118">
      <formula>$L$137="Manually set to: Yellow"</formula>
    </cfRule>
    <cfRule type="expression" dxfId="29" priority="119">
      <formula>$L$137="Manually set to: Green"</formula>
    </cfRule>
  </conditionalFormatting>
  <conditionalFormatting sqref="L140:L141">
    <cfRule type="expression" dxfId="28" priority="112">
      <formula>$L$140="Manually set to: Grey"</formula>
    </cfRule>
    <cfRule type="expression" dxfId="27" priority="113">
      <formula>$L$140="Manually set to: Red"</formula>
    </cfRule>
    <cfRule type="expression" dxfId="26" priority="114">
      <formula>$L$140="Manually set to: Yellow"</formula>
    </cfRule>
    <cfRule type="expression" dxfId="25" priority="115">
      <formula>$L$140="Manually set to: Green"</formula>
    </cfRule>
  </conditionalFormatting>
  <conditionalFormatting sqref="L143:L144">
    <cfRule type="expression" dxfId="24" priority="108">
      <formula>$L$143="Manually set to: Grey"</formula>
    </cfRule>
    <cfRule type="expression" dxfId="23" priority="109">
      <formula>$L$143="Manually set to: Red"</formula>
    </cfRule>
    <cfRule type="expression" dxfId="22" priority="110">
      <formula>$L$143="Manually set to: Yellow"</formula>
    </cfRule>
    <cfRule type="expression" dxfId="21" priority="111">
      <formula>$L$143="Manually set to: Green"</formula>
    </cfRule>
  </conditionalFormatting>
  <conditionalFormatting sqref="L149:L155">
    <cfRule type="expression" dxfId="20" priority="104">
      <formula>$L$149="Manually set to: Grey"</formula>
    </cfRule>
    <cfRule type="expression" dxfId="19" priority="105">
      <formula>$L$149="Manually set to: Red"</formula>
    </cfRule>
    <cfRule type="expression" dxfId="18" priority="106">
      <formula>$L$149="Manually set to: Yellow"</formula>
    </cfRule>
    <cfRule type="expression" dxfId="17" priority="107">
      <formula>$L$149="Manually set to: Green"</formula>
    </cfRule>
  </conditionalFormatting>
  <conditionalFormatting sqref="L157:L158">
    <cfRule type="expression" dxfId="16" priority="100">
      <formula>$L$157="Manually set to: Grey"</formula>
    </cfRule>
    <cfRule type="expression" dxfId="15" priority="101">
      <formula>$L$157="Manually set to: Red"</formula>
    </cfRule>
    <cfRule type="expression" dxfId="14" priority="102">
      <formula>$L$157="Manually set to: Yellow"</formula>
    </cfRule>
    <cfRule type="expression" dxfId="13" priority="103">
      <formula>$L$157="Manually set to: Green"</formula>
    </cfRule>
  </conditionalFormatting>
  <conditionalFormatting sqref="L160:L161">
    <cfRule type="expression" dxfId="12" priority="96">
      <formula>$L$160="Manually set to: Grey"</formula>
    </cfRule>
    <cfRule type="expression" dxfId="11" priority="97">
      <formula>$L$160="Manually set to: Red"</formula>
    </cfRule>
    <cfRule type="expression" dxfId="10" priority="98">
      <formula>$L$160="Manually set to: Yellow"</formula>
    </cfRule>
    <cfRule type="expression" dxfId="9" priority="99">
      <formula>$L$160="Manually set to: Green"</formula>
    </cfRule>
  </conditionalFormatting>
  <conditionalFormatting sqref="L173:L174">
    <cfRule type="expression" dxfId="8" priority="39">
      <formula>$L$173="Manually set to: Green"</formula>
    </cfRule>
    <cfRule type="expression" dxfId="7" priority="40">
      <formula>$L$173="Manually set to: Yellow"</formula>
    </cfRule>
    <cfRule type="expression" dxfId="6" priority="41">
      <formula>$L$173="Manually set to: Red"</formula>
    </cfRule>
    <cfRule type="expression" dxfId="5" priority="42">
      <formula>$L$173="Manually set to: Grey"</formula>
    </cfRule>
  </conditionalFormatting>
  <conditionalFormatting sqref="L175:L176">
    <cfRule type="expression" dxfId="4" priority="43">
      <formula>$L$175="Manually set to: Grey"</formula>
    </cfRule>
    <cfRule type="expression" dxfId="3" priority="44">
      <formula>$L$175="Manually set to: Red"</formula>
    </cfRule>
    <cfRule type="expression" dxfId="2" priority="45">
      <formula>$L$175="Manually set to: Yellow"</formula>
    </cfRule>
    <cfRule type="expression" dxfId="1" priority="46">
      <formula>$L$175="Manually set to: Green"</formula>
    </cfRule>
  </conditionalFormatting>
  <conditionalFormatting sqref="R28">
    <cfRule type="expression" dxfId="0" priority="214">
      <formula>AND(M29="Positive",M30="Positive")</formula>
    </cfRule>
  </conditionalFormatting>
  <dataValidations count="29">
    <dataValidation type="list" allowBlank="1" showInputMessage="1" sqref="C32:E38" xr:uid="{41CEA983-C285-A743-9241-8C2004FAE2AE}">
      <formula1>"In vitro bact: OECD 471 (Ames), In vitro mam: OECD 476, In vitro mam: OECD 490, In vivo mam: OECD 488, In vivo mam: OECD 486, In vivo mam: OECD 489,No data"</formula1>
    </dataValidation>
    <dataValidation type="list" allowBlank="1" showInputMessage="1" sqref="C18:F20" xr:uid="{0128C275-9645-3B45-9DCF-F32F17D06562}">
      <formula1>"Not listed,Carc. 1A: H350: May cause cancer,Carc. 1B: H350: May cause cancer,Carc. 2: H351: Suspected of causing cancer,MAK III 1,MAK III 2,MAK III 3B,MAK III 3A,MAK III 4,MAK III 5,IARC 1,IARC 2A,IARC 2B,IARC 3,IARC 4,TLV A1,TLV A2,TLV A3,TLV A4,TLV A5"</formula1>
    </dataValidation>
    <dataValidation type="list" allowBlank="1" showInputMessage="1" sqref="F32:F38" xr:uid="{37B0EEB5-78EE-064F-A6D6-35F5D3B7E213}">
      <formula1>"Positive,Negative"</formula1>
    </dataValidation>
    <dataValidation type="list" allowBlank="1" showInputMessage="1" showErrorMessage="1" sqref="B49 B56" xr:uid="{02318995-7B87-AE41-8DBC-7B25534F097E}">
      <formula1>"Oral NOAEL =,Inhalation NOAEL ="</formula1>
    </dataValidation>
    <dataValidation type="list" allowBlank="1" showInputMessage="1" showErrorMessage="1" sqref="C30:C31 D30:F30" xr:uid="{E9BD86D9-1B70-2E4B-B582-0EBE4305C3BE}">
      <formula1>"Muta. 1A: H340: May cause genetic defects,Muta. 1B: H340: May cause genetic defects,Muta. 2: H341: Suspected of causing genetic defects,MAK IX 1,MAK IX 2,MAK IX 3A, MAK IX 3B, Not listed"</formula1>
    </dataValidation>
    <dataValidation type="list" allowBlank="1" showInputMessage="1" showErrorMessage="1" sqref="L173 K18:L23 K25:L28 L47:L48 K61:L67 L54:L55 L69 L88 K30:L31 L103:L105 K137:L138 K140:L141 K157:L158 K160:L161 K47:K52 K54:K59 K69:K74 K130:L130 K88:K93 K111:K112 K103:K109 K76:L76 K95:L96 K123:L123 K116:L116 L149:L155 L175 L143:L144 L111:L113 K163:L172" xr:uid="{11A8348E-6BEB-2643-A99A-688BA23360B2}">
      <formula1>"Manually set to: Green,Manually set to: Yellow,Manually set to: Red,Manually set to: Grey"</formula1>
    </dataValidation>
    <dataValidation type="list" allowBlank="1" showInputMessage="1" showErrorMessage="1" sqref="B78:B80" xr:uid="{FC6BC00A-44DA-1442-B0F0-881E6CF2A7AC}">
      <formula1>"Acute: LC50 (gas) =,Acute: LC50 (vapor) =,Acute: LC50 (dust/mist/aerosol) ="</formula1>
    </dataValidation>
    <dataValidation type="list" allowBlank="1" showInputMessage="1" showErrorMessage="1" sqref="B81:B83" xr:uid="{816F9E3D-CB0D-3949-89B1-72D13739A566}">
      <formula1>"Chronic: LOAEL (gas) =,Chronic: LOAEL (vapor) =,Chronic: LOAEL (dust/mist/aerosol) ="</formula1>
    </dataValidation>
    <dataValidation type="list" allowBlank="1" showInputMessage="1" showErrorMessage="1" sqref="K143:K144 K149:K155" xr:uid="{2E4853EA-AE4A-7C49-BB61-82EA666C032E}">
      <formula1>"Manually set to: Green,Manually set to: Yellow,Manually set to: Red,Manually set to: Grey,Manually set to: Purple"</formula1>
    </dataValidation>
    <dataValidation type="list" allowBlank="1" showInputMessage="1" showErrorMessage="1" sqref="C54:C55" xr:uid="{402CF291-9853-5148-AAF1-4CB6A12C1F37}">
      <formula1>"Not listed,Repr. 1A: H360: May damage fertility or the unborn child,Repr. 1B: H360: May damage fertility or the unborn child, Repr. 2: H361: Suspected of damaging fertility or the unborn child,MAK A,MAK B,MAK C"</formula1>
    </dataValidation>
    <dataValidation type="list" allowBlank="1" showInputMessage="1" showErrorMessage="1" sqref="C70" xr:uid="{5519863E-CEC3-9E45-AD3D-1157DC8CB94A}">
      <formula1>"/,STOT SE 1: H370: Causes damage to organs via oral exposure,STOT SE 2: H371: May cause damage to organs via oral exposure,STOT RE 1: H372: Causes damage via repeated oral exposure,STOT RE 2: H373: May cause damage via repeated oral exposure"</formula1>
    </dataValidation>
    <dataValidation type="list" allowBlank="1" showInputMessage="1" showErrorMessage="1" sqref="C69" xr:uid="{987246DD-040C-F046-AFA3-8FB4BC80F578}">
      <formula1>"Not classified, Acute Tox. 1: H300: Fatal if swallowed,Acute Tox. 2: H300: Fatal if swallowed,Acute Tox. 3: H301: Toxic if swallowed,Acute Tox. 4: H302: Harmful if swallowed,Asp. Tox. 1: H304: May be fatal if swallowed and enters airways"</formula1>
    </dataValidation>
    <dataValidation type="list" allowBlank="1" showInputMessage="1" showErrorMessage="1" sqref="C88" xr:uid="{B25F4D7F-7071-8940-9CBE-E10C64996019}">
      <formula1>"Not classified,Acute Tox. 1: H310: Fatal in contact with skin,Acute Tox. 2: H310: Fatal in contact with skin,Acute Tox. 3: H311: Toxic in contact with skin,Acute Tox. 4: H312: Harmful in contact with skin"</formula1>
    </dataValidation>
    <dataValidation type="list" allowBlank="1" showInputMessage="1" showErrorMessage="1" sqref="C89" xr:uid="{83C90EBD-1391-5448-8B8D-E18069E12BC3}">
      <formula1>"/,STOT SE 1: H370: Causes damage to organs via dermal exposure,STOT SE 2: H371: May cause damage to organs via dermal exposure,STOT RE 1: H372: Causes damage via repeated dermal exposure,STOT RE 2: H373: May cause damage via repeated dermal exposure"</formula1>
    </dataValidation>
    <dataValidation type="list" allowBlank="1" showInputMessage="1" showErrorMessage="1" sqref="C95:F96" xr:uid="{AD8EB196-9AA5-2E4F-BD9A-763928284AFE}">
      <formula1>"Skin Corr. 1: H314 Causes severe skin burns and eye damage, Skin Irrit. 2: H315 Causes skin irritation, Not irritating according to testing,Skin irritating according to testing,Skin corrosive according to testing,No data"</formula1>
    </dataValidation>
    <dataValidation type="list" allowBlank="1" showInputMessage="1" showErrorMessage="1" sqref="C76" xr:uid="{8B7EC2E5-4206-D749-B712-B1C0E0B0094A}">
      <formula1>"Not classified,Acute Tox. 1: H330: Fatal if inhaled,Acute Tox. 2: H330: Fatal if inhaled,Acute Tox. 3: H331: Toxic if inhaled,Acute Tox. 4: H332: Harmful if inhaled"</formula1>
    </dataValidation>
    <dataValidation type="list" allowBlank="1" showInputMessage="1" showErrorMessage="1" sqref="C77" xr:uid="{2AB0F62C-B96A-C749-A3BE-65857A517990}">
      <formula1>"/,STOT SE 1: H370: Damages organs via inhal. exp.,STOT SE 2: H371: May damage organs via inhal. exp.,STOT RE 1: H372: Damages organs via repeated inhal. exp.,STOT RE 2: H373: May damage organs via repeated inhal. exp.,STOT SE 3: H336: May cause drowsiness"</formula1>
    </dataValidation>
    <dataValidation type="list" allowBlank="1" showInputMessage="1" showErrorMessage="1" sqref="C116:F116 C123:F123 C130:F130" xr:uid="{28F612FC-DEA9-D44A-9C4C-2F9750491F6A}">
      <formula1>"Not Classified,Aqua. Acute 1: H400,Aqua. Acute 2: H401,Aqua. Acute 3: H402,Aqua. Chronic 1: H410,Aqua. Chronic 2: H411,Aqua. Chronic 3: H412,Aqua. Chronic 4: H413"</formula1>
    </dataValidation>
    <dataValidation type="list" allowBlank="1" showInputMessage="1" sqref="C97:F98" xr:uid="{1F2F4111-068F-2442-BC5F-9D30934B1290}">
      <formula1>"Eye Dam. 1: H318 Causes serious eye damage,Eye irrit. 2a: H319 Causes serious eye irritation,Eye irrit. 2b: H320 Causes eye irritation,Not irritating according to testing,Eye irritating according to testing,Eye damaging according to testing,No data"</formula1>
    </dataValidation>
    <dataValidation type="list" allowBlank="1" showInputMessage="1" showErrorMessage="1" sqref="C99:F100" xr:uid="{2EAE8F16-B4D2-A840-A97F-198F04EA252E}">
      <formula1>"STOT SE 3: H335 May cause respiratory tract irritation, Not irritating according to testing, Irritating according to testing, Corrosive according to testing, No data"</formula1>
    </dataValidation>
    <dataValidation type="list" allowBlank="1" showInputMessage="1" showErrorMessage="1" sqref="B149:C153 B154:B155" xr:uid="{70090D46-918C-A541-BF5D-BDBF86619E4C}">
      <formula1>"% DOC biodegradation after 28 days:,% ThOD biodegradation after 28 days:,Substance is inherently biodegradable,Degradation halflife time in air:,Degradation halflife time in water, soil or sediment:,QSAR prediction:"</formula1>
    </dataValidation>
    <dataValidation type="list" allowBlank="1" showInputMessage="1" showErrorMessage="1" sqref="C103:F105" xr:uid="{1E0A9E6E-7902-5740-813E-0DE48FD14F6B}">
      <formula1>"Skin Sens. 1: H317 May cause an allergic skin reaction,MAK Sh,Not sensitzing according to testing,Sensitizing according to testing,No data"</formula1>
    </dataValidation>
    <dataValidation type="list" allowBlank="1" showInputMessage="1" showErrorMessage="1" sqref="C106:F108" xr:uid="{0C8FD874-7A63-C544-9821-E7922776580E}">
      <formula1>" Resp. Sens. 1: H334 May cause allergy or asthma symptoms or breathing difficulties if inhaled, MAK Sa, Not sensitzing according to testing, Sensitizing according to testing, No data"</formula1>
    </dataValidation>
    <dataValidation type="list" allowBlank="1" showInputMessage="1" showErrorMessage="1" sqref="B143:B144" xr:uid="{F044FA91-0397-4D41-805C-8364D9E66AEA}">
      <formula1>"BCF/BAF (experimental):,BCF/BAF (QSAR):"</formula1>
    </dataValidation>
    <dataValidation type="list" allowBlank="1" showInputMessage="1" showErrorMessage="1" sqref="C47:F48" xr:uid="{CCFF5226-C14A-B643-82CE-5FF370D12DBB}">
      <formula1>"Not listed,Repr. 1A: H360: May damage fertility or the unborn child,Repr. 1B: H360: May damage fertility or the unborn child, Repr. 2: H361: Suspected of damaging fertility or the unborn child,MAK A,MAK B,MAK C,H362: Reproductive toxic through lactation"</formula1>
    </dataValidation>
    <dataValidation type="list" allowBlank="1" showInputMessage="1" sqref="C39:E43" xr:uid="{5035DD8E-7BB2-1949-B6F3-99D88A0753ED}">
      <formula1>"In vitro mam: OECD 473,In vitro mam: OECD 487,In vivo mam: OECD 478,In vivo mam: OECD 483,In vivo mam: OECD 485,In vivo mam: OECD 474,In vivo mam: OECD 475,In vivo mam: OECD 488,In vivo mam: OECD 486,In vivo mam: OECD 489,No data"</formula1>
    </dataValidation>
    <dataValidation type="list" allowBlank="1" showInputMessage="1" showErrorMessage="1" sqref="F39:F43" xr:uid="{66846584-9C99-4E44-82FC-CE9018FEF3D2}">
      <formula1>"Positive,Negative"</formula1>
    </dataValidation>
    <dataValidation type="list" allowBlank="1" showInputMessage="1" showErrorMessage="1" sqref="C26:F26" xr:uid="{CA1557DE-C149-6C44-A08E-E76D99B90E4B}">
      <formula1>"Sufficient evidence of endorcrine effects in humans, Evidence of endocrine effects in animals/micro organisms, Endocrine activity observed but no endocrine disruption"</formula1>
    </dataValidation>
    <dataValidation type="list" allowBlank="1" showInputMessage="1" showErrorMessage="1" sqref="C63" xr:uid="{B90F0263-1A42-D84A-9BC5-FACE30DE11C7}">
      <formula1>"Yes,No"</formula1>
    </dataValidation>
  </dataValidations>
  <hyperlinks>
    <hyperlink ref="B189" r:id="rId1" xr:uid="{270D59FF-F1F2-1346-ACBB-FBE06F84C5CC}"/>
    <hyperlink ref="B190" r:id="rId2" xr:uid="{25473206-1E96-154E-9A3D-6E3250FB0DC4}"/>
    <hyperlink ref="B191" r:id="rId3" xr:uid="{0A2CFB1D-65F3-EE4A-A939-8C7DF919983D}"/>
    <hyperlink ref="B192" r:id="rId4" xr:uid="{1CCDBB82-0672-CE44-B1AA-421868F8ADBF}"/>
    <hyperlink ref="B194" r:id="rId5" xr:uid="{CA2AD8D7-F03B-7C47-A8E3-D59050F77BEE}"/>
    <hyperlink ref="B193" r:id="rId6" xr:uid="{49646F5C-AC13-634F-8BE9-76891B474523}"/>
    <hyperlink ref="B195" r:id="rId7" xr:uid="{8EBD3792-4181-F44F-AA8E-E97604E827BC}"/>
    <hyperlink ref="B196" r:id="rId8" xr:uid="{A7FE3A44-7C8E-F740-95C5-D29CA72DB457}"/>
    <hyperlink ref="B197" r:id="rId9" xr:uid="{FCEBF000-7FC5-5B49-8C25-B630C0BFA7E7}"/>
    <hyperlink ref="B198" r:id="rId10" xr:uid="{0808563B-C2C3-BB49-B2AA-2EC11FD83068}"/>
    <hyperlink ref="B199" r:id="rId11" xr:uid="{82CFC6BE-9B92-1D41-98B2-7E2A8C3192D5}"/>
    <hyperlink ref="B200" r:id="rId12" xr:uid="{06ED1085-BF0D-EF4B-9288-413E1766B010}"/>
    <hyperlink ref="B201" r:id="rId13" xr:uid="{CAEA2353-BEFF-0341-AFA0-0B6F7D8E95C1}"/>
    <hyperlink ref="B202" r:id="rId14" xr:uid="{F1ED3CBE-E87B-0145-8EC4-C66B84E9B597}"/>
    <hyperlink ref="B203" r:id="rId15" xr:uid="{5FF462DB-8590-1443-B674-B378D5FD06C6}"/>
    <hyperlink ref="B204" r:id="rId16" xr:uid="{F1E6430A-6D4B-E243-BF56-894E75D0CC4D}"/>
    <hyperlink ref="B205" r:id="rId17" xr:uid="{11345F97-7E17-EE4E-8CAE-8493128F31D8}"/>
    <hyperlink ref="B206" r:id="rId18" xr:uid="{69E25334-425F-0940-A279-D694CD1D9944}"/>
    <hyperlink ref="B207" r:id="rId19" xr:uid="{8B288AD7-6600-EA42-B05B-8C5F8FFDB8AF}"/>
    <hyperlink ref="B208" r:id="rId20" xr:uid="{050BA8CB-F4C4-6646-B9FC-51A9B4365B18}"/>
    <hyperlink ref="B209" r:id="rId21" xr:uid="{BB7E50EF-BF74-9D40-9080-C9159201E167}"/>
    <hyperlink ref="B212" r:id="rId22" xr:uid="{B6AC8173-0011-8B4F-B32F-C3D69C5728FC}"/>
  </hyperlinks>
  <pageMargins left="0.36000000000000004" right="0.36000000000000004" top="0.6100000000000001" bottom="0.6100000000000001" header="0.30000000000000004" footer="0.30000000000000004"/>
  <pageSetup paperSize="9" scale="58" orientation="portrait" horizontalDpi="4294967292" verticalDpi="4294967292"/>
  <headerFooter>
    <oddFooter>&amp;L&amp;"Calibri,Regular"&amp;K000000Chemical profiling sheet - 2014</oddFooter>
  </headerFooter>
  <drawing r:id="rId23"/>
  <legacyDrawing r:id="rId2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25" name="Button 1">
              <controlPr defaultSize="0" print="0" autoFill="0" autoPict="0" macro="[0]!DoFormatting">
                <anchor moveWithCells="1" sizeWithCells="1">
                  <from>
                    <xdr:col>0</xdr:col>
                    <xdr:colOff>342900</xdr:colOff>
                    <xdr:row>43</xdr:row>
                    <xdr:rowOff>0</xdr:rowOff>
                  </from>
                  <to>
                    <xdr:col>0</xdr:col>
                    <xdr:colOff>1866900</xdr:colOff>
                    <xdr:row>43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26" name="Button 2">
              <controlPr defaultSize="0" print="0" autoFill="0" autoPict="0" macro="[0]!ExportC2C">
                <anchor moveWithCells="1" sizeWithCells="1">
                  <from>
                    <xdr:col>9</xdr:col>
                    <xdr:colOff>889000</xdr:colOff>
                    <xdr:row>8</xdr:row>
                    <xdr:rowOff>114300</xdr:rowOff>
                  </from>
                  <to>
                    <xdr:col>11</xdr:col>
                    <xdr:colOff>76200</xdr:colOff>
                    <xdr:row>11</xdr:row>
                    <xdr:rowOff>165100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6BCCB-9007-684B-A0E7-59E6F252BCBB}">
  <sheetPr codeName="Sheet3"/>
  <dimension ref="A1:E11"/>
  <sheetViews>
    <sheetView workbookViewId="0">
      <selection activeCell="A20" sqref="A20"/>
    </sheetView>
  </sheetViews>
  <sheetFormatPr baseColWidth="10" defaultColWidth="11" defaultRowHeight="16" x14ac:dyDescent="0.2"/>
  <cols>
    <col min="1" max="1" width="22.6640625" customWidth="1"/>
  </cols>
  <sheetData>
    <row r="1" spans="1:5" x14ac:dyDescent="0.2">
      <c r="A1" t="s">
        <v>167</v>
      </c>
      <c r="D1" t="s">
        <v>168</v>
      </c>
    </row>
    <row r="2" spans="1:5" x14ac:dyDescent="0.2">
      <c r="A2" t="s">
        <v>169</v>
      </c>
    </row>
    <row r="3" spans="1:5" x14ac:dyDescent="0.2">
      <c r="A3" s="70" t="s">
        <v>29</v>
      </c>
    </row>
    <row r="4" spans="1:5" x14ac:dyDescent="0.2">
      <c r="A4" s="70" t="s">
        <v>170</v>
      </c>
    </row>
    <row r="5" spans="1:5" x14ac:dyDescent="0.2">
      <c r="A5" s="70" t="s">
        <v>171</v>
      </c>
    </row>
    <row r="8" spans="1:5" x14ac:dyDescent="0.2">
      <c r="A8" s="17" t="s">
        <v>172</v>
      </c>
      <c r="B8" s="119" t="s">
        <v>173</v>
      </c>
      <c r="C8" s="120"/>
      <c r="D8" s="120"/>
      <c r="E8" s="121"/>
    </row>
    <row r="9" spans="1:5" x14ac:dyDescent="0.2">
      <c r="A9" s="17" t="s">
        <v>30</v>
      </c>
      <c r="B9" s="119" t="s">
        <v>174</v>
      </c>
      <c r="C9" s="120"/>
      <c r="D9" s="120"/>
      <c r="E9" s="53"/>
    </row>
    <row r="10" spans="1:5" x14ac:dyDescent="0.2">
      <c r="A10" s="17" t="s">
        <v>31</v>
      </c>
      <c r="B10" s="119" t="s">
        <v>174</v>
      </c>
      <c r="C10" s="120"/>
      <c r="D10" s="121"/>
      <c r="E10" s="53"/>
    </row>
    <row r="11" spans="1:5" x14ac:dyDescent="0.2">
      <c r="A11" s="17" t="s">
        <v>171</v>
      </c>
      <c r="B11" s="119" t="s">
        <v>175</v>
      </c>
      <c r="C11" s="120"/>
      <c r="D11" s="121"/>
      <c r="E11" s="53"/>
    </row>
  </sheetData>
  <sheetProtection algorithmName="SHA-512" hashValue="Nhk5g2NGnXBf/qmD5F/dnc/+q6DGVf5Ugnu4V+RWhjhCJToVW2G0nAcx44Ch53Nb0of2qw30DKtcxj5UecoutQ==" saltValue="H8KiJdHsusYmweCHDTuAqw==" spinCount="100000" sheet="1" objects="1" scenarios="1"/>
  <mergeCells count="4">
    <mergeCell ref="B10:D10"/>
    <mergeCell ref="B11:D11"/>
    <mergeCell ref="B8:E8"/>
    <mergeCell ref="B9:D9"/>
  </mergeCells>
  <dataValidations count="6">
    <dataValidation type="list" allowBlank="1" showInputMessage="1" showErrorMessage="1" sqref="B8:E8" xr:uid="{921D358B-477B-8549-B72F-CB93DCC0E933}">
      <formula1>"Muta. 1A: H340: May cause genetic defects,Muta. 1B: H340: May cause genetic defects,Muta. 2: H341: Suspected of causing genetic defects,MAK IX 1,MAK IX 2,MAK IX 3A, MAK IX 3B, Not listed"</formula1>
    </dataValidation>
    <dataValidation type="list" allowBlank="1" showInputMessage="1" sqref="E11" xr:uid="{032CFF03-7CCD-844B-AA02-16BD39E875A5}">
      <formula1>"Positive,Negative"</formula1>
    </dataValidation>
    <dataValidation type="list" allowBlank="1" showInputMessage="1" showErrorMessage="1" sqref="E9:E10" xr:uid="{37998411-2D6A-5049-840B-0DCD5D1ED818}">
      <formula1>"Positive,Negative"</formula1>
    </dataValidation>
    <dataValidation allowBlank="1" showInputMessage="1" sqref="B11" xr:uid="{8EA87C4A-3FBE-234F-88AD-2F4FCD86FA69}"/>
    <dataValidation type="list" allowBlank="1" showInputMessage="1" sqref="B10:D10" xr:uid="{319971FE-66FF-4D4C-9DBA-C7CC501DE43E}">
      <formula1>"In vitro mam: OECD 473,In vitro mam: OECD 487,In vivo mam: OECD 478,In vivo mam: OECD 483,In vivo mam: OECD 485,In vivo mam: OECD 474,In vivo mam: OECD 475,In vivo mam: OECD 488,In vivo mam: OECD 486,In vivo mam: OECD 489,No data"</formula1>
    </dataValidation>
    <dataValidation type="list" allowBlank="1" showInputMessage="1" sqref="B9:D9" xr:uid="{2E8EE3EC-7ABC-DC46-B6F1-65F96D171BD5}">
      <formula1>"In vitro bact: OECD 471 (Ames), In vitro mam: OECD 476, In vitro mam: OECD 490, In vivo mam: OECD 488, In vivo mam: OECD 486, In vivo mam: OECD 489,No data"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06cc8d-b20d-4a32-8812-b640ffe75556">
      <Terms xmlns="http://schemas.microsoft.com/office/infopath/2007/PartnerControls"/>
    </lcf76f155ced4ddcb4097134ff3c332f>
    <TaxCatchAll xmlns="868537ae-8c79-4ca9-a9fd-dd33e3ab8b4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E59A15F3FF6F4AA788B1D026253896" ma:contentTypeVersion="11" ma:contentTypeDescription="Een nieuw document maken." ma:contentTypeScope="" ma:versionID="dfd21d6aa7a97db07695c3b9b9620907">
  <xsd:schema xmlns:xsd="http://www.w3.org/2001/XMLSchema" xmlns:xs="http://www.w3.org/2001/XMLSchema" xmlns:p="http://schemas.microsoft.com/office/2006/metadata/properties" xmlns:ns2="8806cc8d-b20d-4a32-8812-b640ffe75556" xmlns:ns3="868537ae-8c79-4ca9-a9fd-dd33e3ab8b42" targetNamespace="http://schemas.microsoft.com/office/2006/metadata/properties" ma:root="true" ma:fieldsID="53aa22768c5d12d45596e29abf2731ba" ns2:_="" ns3:_="">
    <xsd:import namespace="8806cc8d-b20d-4a32-8812-b640ffe75556"/>
    <xsd:import namespace="868537ae-8c79-4ca9-a9fd-dd33e3ab8b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06cc8d-b20d-4a32-8812-b640ffe75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0d68d24d-f408-4014-b807-417539eb19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8537ae-8c79-4ca9-a9fd-dd33e3ab8b4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e93a948-ec0f-4333-a9b4-082ac57fe3d3}" ma:internalName="TaxCatchAll" ma:showField="CatchAllData" ma:web="868537ae-8c79-4ca9-a9fd-dd33e3ab8b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3BA01D-5631-4217-8583-116559AD26B0}">
  <ds:schemaRefs>
    <ds:schemaRef ds:uri="http://schemas.microsoft.com/office/infopath/2007/PartnerControls"/>
    <ds:schemaRef ds:uri="http://purl.org/dc/terms/"/>
    <ds:schemaRef ds:uri="868537ae-8c79-4ca9-a9fd-dd33e3ab8b42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  <ds:schemaRef ds:uri="8806cc8d-b20d-4a32-8812-b640ffe75556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AEFB56E-C525-45D8-AAEA-2A3FDA0E74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B7D354-8188-40EA-B789-E9B992124C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06cc8d-b20d-4a32-8812-b640ffe75556"/>
    <ds:schemaRef ds:uri="868537ae-8c79-4ca9-a9fd-dd33e3ab8b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C2Coverview</vt:lpstr>
      <vt:lpstr>SourceText</vt:lpstr>
      <vt:lpstr>'C2Coverview'!Print_Area</vt:lpstr>
    </vt:vector>
  </TitlesOfParts>
  <Manager/>
  <Company>Arche Consulting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patrick.vansprang</dc:creator>
  <cp:keywords/>
  <dc:description/>
  <cp:lastModifiedBy>Karel Viaene</cp:lastModifiedBy>
  <cp:revision/>
  <dcterms:created xsi:type="dcterms:W3CDTF">2014-01-09T14:40:33Z</dcterms:created>
  <dcterms:modified xsi:type="dcterms:W3CDTF">2025-09-03T11:05:53Z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0x01010092E59A15F3FF6F4AA788B1D026253896</vt:lpwstr>
  </property>
  <property fmtid="{D5CDD505-2E9C-101B-9397-08002B2CF9AE}" pid="3" name="MediaServiceImageTags">
    <vt:lpwstr/>
  </property>
</Properties>
</file>