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.lentink/Arche Dropbox/C2C/08_Chemical Profiling/"/>
    </mc:Choice>
  </mc:AlternateContent>
  <xr:revisionPtr revIDLastSave="0" documentId="13_ncr:1_{14AFD4A6-C89F-FF4C-AF0F-FC5CC6E12EBC}" xr6:coauthVersionLast="47" xr6:coauthVersionMax="47" xr10:uidLastSave="{00000000-0000-0000-0000-000000000000}"/>
  <bookViews>
    <workbookView xWindow="-17320" yWindow="-22160" windowWidth="27660" windowHeight="17340" xr2:uid="{4DA62B78-EFF6-274F-9A3C-3E5FD52E9962}"/>
  </bookViews>
  <sheets>
    <sheet name="102-76-1" sheetId="1" r:id="rId1"/>
  </sheets>
  <definedNames>
    <definedName name="Apparel">#REF!</definedName>
    <definedName name="Building_Materials">#REF!</definedName>
    <definedName name="CyclingScenario">#REF!</definedName>
    <definedName name="Home___Office_Supply">#REF!</definedName>
    <definedName name="Home_and_Office_Supply">#REF!</definedName>
    <definedName name="Interior_Design___Furniture">#REF!</definedName>
    <definedName name="Interior_Design_and_Furniture">#REF!</definedName>
    <definedName name="Liquid_Formulations">#REF!</definedName>
    <definedName name="Other">#REF!</definedName>
    <definedName name="Packaging___Single_Use_Products">#REF!</definedName>
    <definedName name="Packaging_and_Single_Use_Products">#REF!</definedName>
    <definedName name="Please_select">#REF!</definedName>
    <definedName name="Product_Category">#REF!</definedName>
    <definedName name="Product_or_Application">#REF!</definedName>
    <definedName name="Recyclable">#REF!</definedName>
    <definedName name="TN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B61" i="1"/>
  <c r="D49" i="1"/>
  <c r="D48" i="1"/>
  <c r="D34" i="1"/>
  <c r="D30" i="1"/>
</calcChain>
</file>

<file path=xl/sharedStrings.xml><?xml version="1.0" encoding="utf-8"?>
<sst xmlns="http://schemas.openxmlformats.org/spreadsheetml/2006/main" count="186" uniqueCount="130">
  <si>
    <t>Arche</t>
  </si>
  <si>
    <t>Client</t>
  </si>
  <si>
    <t>Project n°</t>
  </si>
  <si>
    <t>Product</t>
  </si>
  <si>
    <t>General information</t>
  </si>
  <si>
    <t>Molecular Formula</t>
  </si>
  <si>
    <t>Chemical name</t>
  </si>
  <si>
    <t>CAS number</t>
  </si>
  <si>
    <t>Name assessor</t>
  </si>
  <si>
    <t>Date</t>
  </si>
  <si>
    <t>Checked</t>
  </si>
  <si>
    <t>Not checked</t>
  </si>
  <si>
    <t>Detailed profile matrix</t>
  </si>
  <si>
    <t>Criteria</t>
  </si>
  <si>
    <t>Value</t>
  </si>
  <si>
    <t>Resource</t>
  </si>
  <si>
    <t>Notifiers</t>
  </si>
  <si>
    <t>Hazard Assessment</t>
  </si>
  <si>
    <t>Risk Assessment</t>
  </si>
  <si>
    <t>HUMAN HEALTH</t>
  </si>
  <si>
    <t>Carcinogenicity</t>
  </si>
  <si>
    <t>Classified or listed:</t>
  </si>
  <si>
    <t>Not listed</t>
  </si>
  <si>
    <t>Disruption of endocrine system</t>
  </si>
  <si>
    <t>Mutagenicity/genotoxicity</t>
  </si>
  <si>
    <t>Point mutations: (OECD)</t>
  </si>
  <si>
    <t>Point mutations:</t>
  </si>
  <si>
    <t>Chromosome damaging:</t>
  </si>
  <si>
    <t>Reproductive toxicity</t>
  </si>
  <si>
    <t>Oral NOAEL =</t>
  </si>
  <si>
    <t>Development toxicity</t>
  </si>
  <si>
    <t>Neurotoxicity</t>
  </si>
  <si>
    <t>Oral toxicity</t>
  </si>
  <si>
    <t>Acute Tox classified:</t>
  </si>
  <si>
    <t>STOT classified:</t>
  </si>
  <si>
    <t>Acute: LD50 =</t>
  </si>
  <si>
    <t>mg/kg bw</t>
  </si>
  <si>
    <t>Chronic: LOAEL =</t>
  </si>
  <si>
    <t>mg/kg  bw/day</t>
  </si>
  <si>
    <t>Inhalative toxicity</t>
  </si>
  <si>
    <t>CLP classification:</t>
  </si>
  <si>
    <t>Chronic: LOAEL (vapor) =</t>
  </si>
  <si>
    <t>Dermal toxicity</t>
  </si>
  <si>
    <t>Acute classified:</t>
  </si>
  <si>
    <t>mg/kg  bw</t>
  </si>
  <si>
    <t>Skin, Eye, Respiratory corrosion/irritation</t>
  </si>
  <si>
    <t>Skin:</t>
  </si>
  <si>
    <t>Eye:</t>
  </si>
  <si>
    <t>Respiratory:</t>
  </si>
  <si>
    <t>Sensitization</t>
  </si>
  <si>
    <t>Inhalation:</t>
  </si>
  <si>
    <t>Other</t>
  </si>
  <si>
    <t>Assessment</t>
  </si>
  <si>
    <t>ENVIRONMENTAL HEALTH</t>
  </si>
  <si>
    <t>Fish toxicity</t>
  </si>
  <si>
    <t>Acute: LC50 (96h) =</t>
  </si>
  <si>
    <t>mg/L</t>
  </si>
  <si>
    <t>Chronic: NOEC =</t>
  </si>
  <si>
    <t>Water solubility:</t>
  </si>
  <si>
    <t>Invertebrate toxicity</t>
  </si>
  <si>
    <t>Acute: L(E)C50 (48h) =</t>
  </si>
  <si>
    <t>Algae toxicity</t>
  </si>
  <si>
    <t>Acute: L(E)C50 (72/96h) =</t>
  </si>
  <si>
    <t>Other species toxicity</t>
  </si>
  <si>
    <t>Terrestrial toxicity</t>
  </si>
  <si>
    <t>Bioaccumulation</t>
  </si>
  <si>
    <t>BCF/BAF (QSAR):</t>
  </si>
  <si>
    <t>Log kow:</t>
  </si>
  <si>
    <t>Molecular weight:</t>
  </si>
  <si>
    <t>g/mol</t>
  </si>
  <si>
    <t>Persistence</t>
  </si>
  <si>
    <t>% DOC biodegradation after 28 days:</t>
  </si>
  <si>
    <t>Climatic relevance/ozone depletion potential</t>
  </si>
  <si>
    <t>CHEMICAL CLASS</t>
  </si>
  <si>
    <t>Organohalogens</t>
  </si>
  <si>
    <t>Toxic metal</t>
  </si>
  <si>
    <t>Combined PB risk flag</t>
  </si>
  <si>
    <t>Combined aquatic risk flag</t>
  </si>
  <si>
    <t>OTHER INFORMATION</t>
  </si>
  <si>
    <t>VOC designation</t>
  </si>
  <si>
    <t>Molecular weight</t>
  </si>
  <si>
    <t>Boiling point</t>
  </si>
  <si>
    <t>Log kow (octanol-water partition coefficient)</t>
  </si>
  <si>
    <t>Vapor pressure</t>
  </si>
  <si>
    <t>Water solubility</t>
  </si>
  <si>
    <t>SMILES</t>
  </si>
  <si>
    <t>Literature sources</t>
  </si>
  <si>
    <t>IPCS INCHEM</t>
  </si>
  <si>
    <t>EPA Ecotox</t>
  </si>
  <si>
    <t>ECHA dessimination website</t>
  </si>
  <si>
    <t>eChemPortal</t>
  </si>
  <si>
    <t>IARC</t>
  </si>
  <si>
    <t>In Pharos</t>
  </si>
  <si>
    <t>ECHA C&amp;L inventory</t>
  </si>
  <si>
    <t>(In pharos)</t>
  </si>
  <si>
    <t>MAK</t>
  </si>
  <si>
    <t>HSBD</t>
  </si>
  <si>
    <t>Colborn list</t>
  </si>
  <si>
    <t>California Proposition 65 list</t>
  </si>
  <si>
    <t>Mundy</t>
  </si>
  <si>
    <t>HPVIS</t>
  </si>
  <si>
    <t>grandjean et al</t>
  </si>
  <si>
    <t>Montreal protocol</t>
  </si>
  <si>
    <t>IPCC</t>
  </si>
  <si>
    <t>EPA ozone depleting substance</t>
  </si>
  <si>
    <t>UBA WGK</t>
  </si>
  <si>
    <t>REACH restricted substances</t>
  </si>
  <si>
    <t>candidate list for SVHC</t>
  </si>
  <si>
    <t>POPs list of Stockholm convention</t>
  </si>
  <si>
    <t>Pharos</t>
  </si>
  <si>
    <t>Endocrine</t>
  </si>
  <si>
    <t>Excel table</t>
  </si>
  <si>
    <t>https://echa.europa.eu/information-on-chemicals</t>
  </si>
  <si>
    <t>triacetine</t>
  </si>
  <si>
    <t>102-76-1</t>
  </si>
  <si>
    <t>Lieve Claeys</t>
  </si>
  <si>
    <t>E1518</t>
  </si>
  <si>
    <t>Seth Schittekatte</t>
  </si>
  <si>
    <t>synthetic foodadditive</t>
  </si>
  <si>
    <t>Sarah Lentink</t>
  </si>
  <si>
    <t>1,2,3-PROPANETRIOL TRIACETATE</t>
  </si>
  <si>
    <t>In vitro bact: OECD 471 (Ames)</t>
  </si>
  <si>
    <t>Negative</t>
  </si>
  <si>
    <t>ECHA diss</t>
  </si>
  <si>
    <t>In vitro mam: OECD 473</t>
  </si>
  <si>
    <t>Acute: LC50 (dust/mist/aerosol) =</t>
  </si>
  <si>
    <t>waived</t>
  </si>
  <si>
    <t>Manually set to: Green</t>
  </si>
  <si>
    <t>Not irritating according to testing</t>
  </si>
  <si>
    <t>Not sensitzing according to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</si>
</sst>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0" fontId="0" fillId="3" borderId="1" xfId="0" applyFill="1" applyBorder="1"/>
    <xf numFmtId="164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4" borderId="5" xfId="0" applyFill="1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8" xfId="0" applyFill="1" applyBorder="1"/>
    <xf numFmtId="0" fontId="0" fillId="4" borderId="0" xfId="0" applyFill="1"/>
    <xf numFmtId="0" fontId="0" fillId="4" borderId="10" xfId="0" applyFill="1" applyBorder="1"/>
    <xf numFmtId="0" fontId="5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5" fillId="4" borderId="8" xfId="0" applyFont="1" applyFill="1" applyBorder="1" applyAlignment="1">
      <alignment wrapText="1"/>
    </xf>
    <xf numFmtId="0" fontId="5" fillId="4" borderId="8" xfId="0" applyFont="1" applyFill="1" applyBorder="1"/>
    <xf numFmtId="0" fontId="1" fillId="8" borderId="11" xfId="0" applyFont="1" applyFill="1" applyBorder="1"/>
    <xf numFmtId="0" fontId="0" fillId="5" borderId="1" xfId="0" applyFill="1" applyBorder="1"/>
    <xf numFmtId="0" fontId="5" fillId="4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2" fontId="0" fillId="10" borderId="1" xfId="0" applyNumberFormat="1" applyFill="1" applyBorder="1"/>
    <xf numFmtId="0" fontId="5" fillId="4" borderId="8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10" borderId="1" xfId="0" applyFill="1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6" fillId="0" borderId="0" xfId="0" applyFont="1"/>
    <xf numFmtId="3" fontId="0" fillId="10" borderId="1" xfId="0" applyNumberFormat="1" applyFill="1" applyBorder="1"/>
    <xf numFmtId="0" fontId="0" fillId="10" borderId="5" xfId="0" applyFill="1" applyBorder="1"/>
    <xf numFmtId="0" fontId="0" fillId="0" borderId="0" xfId="0" applyAlignment="1">
      <alignment horizontal="right" vertical="center"/>
    </xf>
    <xf numFmtId="0" fontId="0" fillId="2" borderId="3" xfId="0" applyFill="1" applyBorder="1" applyAlignment="1">
      <alignment horizontal="right"/>
    </xf>
    <xf numFmtId="0" fontId="5" fillId="2" borderId="4" xfId="0" applyFont="1" applyFill="1" applyBorder="1" applyAlignment="1">
      <alignment wrapText="1"/>
    </xf>
    <xf numFmtId="0" fontId="5" fillId="4" borderId="9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6" xfId="0" applyBorder="1" applyAlignment="1">
      <alignment horizontal="right"/>
    </xf>
    <xf numFmtId="0" fontId="0" fillId="0" borderId="26" xfId="0" applyBorder="1"/>
    <xf numFmtId="0" fontId="0" fillId="0" borderId="9" xfId="0" applyBorder="1" applyAlignment="1">
      <alignment horizontal="right" wrapText="1"/>
    </xf>
    <xf numFmtId="0" fontId="0" fillId="0" borderId="15" xfId="0" applyBorder="1" applyAlignment="1">
      <alignment horizontal="right"/>
    </xf>
    <xf numFmtId="0" fontId="2" fillId="0" borderId="0" xfId="1" applyAlignment="1">
      <alignment horizontal="right"/>
    </xf>
    <xf numFmtId="0" fontId="2" fillId="0" borderId="0" xfId="1" applyFill="1" applyBorder="1" applyAlignment="1">
      <alignment horizontal="right"/>
    </xf>
    <xf numFmtId="0" fontId="8" fillId="0" borderId="0" xfId="0" applyFont="1"/>
    <xf numFmtId="0" fontId="2" fillId="11" borderId="0" xfId="1" applyFill="1" applyBorder="1" applyAlignment="1">
      <alignment horizontal="right"/>
    </xf>
    <xf numFmtId="0" fontId="0" fillId="11" borderId="0" xfId="0" applyFill="1"/>
    <xf numFmtId="16" fontId="0" fillId="11" borderId="0" xfId="0" applyNumberFormat="1" applyFill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11" borderId="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5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5" fillId="0" borderId="10" xfId="0" applyFont="1" applyBorder="1" applyAlignment="1">
      <alignment horizontal="center" wrapText="1"/>
    </xf>
    <xf numFmtId="0" fontId="5" fillId="6" borderId="8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6" borderId="5" xfId="0" applyFont="1" applyFill="1" applyBorder="1" applyAlignment="1">
      <alignment horizontal="center" wrapText="1"/>
    </xf>
    <xf numFmtId="0" fontId="9" fillId="0" borderId="0" xfId="0" applyFont="1"/>
    <xf numFmtId="164" fontId="9" fillId="0" borderId="0" xfId="0" applyNumberFormat="1" applyFont="1" applyAlignment="1">
      <alignment horizontal="left"/>
    </xf>
    <xf numFmtId="14" fontId="9" fillId="0" borderId="0" xfId="0" applyNumberFormat="1" applyFont="1"/>
  </cellXfs>
  <cellStyles count="2">
    <cellStyle name="Hyperlink" xfId="1" builtinId="8"/>
    <cellStyle name="Normal" xfId="0" builtinId="0"/>
  </cellStyles>
  <dxfs count="32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F3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1981200</xdr:colOff>
      <xdr:row>10</xdr:row>
      <xdr:rowOff>153391</xdr:rowOff>
    </xdr:to>
    <xdr:pic>
      <xdr:nvPicPr>
        <xdr:cNvPr id="2" name="Picture 1" descr="star">
          <a:extLst>
            <a:ext uri="{FF2B5EF4-FFF2-40B4-BE49-F238E27FC236}">
              <a16:creationId xmlns:a16="http://schemas.microsoft.com/office/drawing/2014/main" id="{70FB1684-B4F4-A041-B4BE-2276231337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24" b="21952"/>
        <a:stretch>
          <a:fillRect/>
        </a:stretch>
      </xdr:blipFill>
      <xdr:spPr bwMode="auto">
        <a:xfrm>
          <a:off x="0" y="1016000"/>
          <a:ext cx="1981200" cy="1169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file:///var/folders/_k/bkfyrth50_s35ywj3s36hy700000gp/T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file:///var/folders/_k/bkfyrth50_s35ywj3s36hy700000gp/T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71F-4DE3-3B49-B52D-46DD988FA694}">
  <dimension ref="A1:L155"/>
  <sheetViews>
    <sheetView tabSelected="1" topLeftCell="A82" workbookViewId="0">
      <selection activeCell="M118" sqref="M118"/>
    </sheetView>
  </sheetViews>
  <sheetFormatPr baseColWidth="10" defaultRowHeight="16" x14ac:dyDescent="0.2"/>
  <cols>
    <col min="1" max="1" width="37.83203125" bestFit="1" customWidth="1"/>
    <col min="2" max="2" width="24.6640625" style="6" customWidth="1"/>
    <col min="3" max="3" width="14.5" customWidth="1"/>
    <col min="5" max="5" width="6.83203125" customWidth="1"/>
    <col min="6" max="6" width="26.83203125" customWidth="1"/>
    <col min="7" max="7" width="5.6640625" customWidth="1"/>
    <col min="8" max="8" width="19.33203125" customWidth="1"/>
    <col min="9" max="9" width="11.1640625" customWidth="1"/>
    <col min="10" max="10" width="12.83203125" customWidth="1"/>
    <col min="11" max="11" width="17.83203125" customWidth="1"/>
    <col min="12" max="12" width="17" customWidth="1"/>
  </cols>
  <sheetData>
    <row r="1" spans="1:12" x14ac:dyDescent="0.2">
      <c r="A1" s="1" t="s">
        <v>0</v>
      </c>
      <c r="B1" s="2" t="s">
        <v>1</v>
      </c>
      <c r="C1" s="3"/>
      <c r="D1" s="3"/>
      <c r="F1" s="3" t="s">
        <v>2</v>
      </c>
      <c r="G1" s="3"/>
      <c r="H1" s="3" t="s">
        <v>3</v>
      </c>
    </row>
    <row r="3" spans="1:12" x14ac:dyDescent="0.2">
      <c r="A3" s="4" t="s">
        <v>4</v>
      </c>
      <c r="B3" s="5"/>
      <c r="C3" s="4"/>
      <c r="D3" s="4"/>
      <c r="E3" s="4"/>
      <c r="F3" s="4"/>
      <c r="G3" s="4"/>
      <c r="H3" s="4"/>
      <c r="I3" s="4"/>
      <c r="J3" s="4"/>
      <c r="K3" s="4"/>
    </row>
    <row r="4" spans="1:12" x14ac:dyDescent="0.2">
      <c r="A4" s="1"/>
    </row>
    <row r="5" spans="1:12" x14ac:dyDescent="0.2">
      <c r="A5" s="3" t="s">
        <v>5</v>
      </c>
      <c r="B5" s="2" t="s">
        <v>6</v>
      </c>
      <c r="D5" s="3"/>
      <c r="F5" s="3" t="s">
        <v>7</v>
      </c>
      <c r="G5" s="3"/>
      <c r="H5" s="3" t="s">
        <v>8</v>
      </c>
      <c r="I5" s="3" t="s">
        <v>9</v>
      </c>
      <c r="J5" s="3"/>
      <c r="K5" s="3" t="s">
        <v>10</v>
      </c>
      <c r="L5" s="3"/>
    </row>
    <row r="6" spans="1:12" ht="16" customHeight="1" x14ac:dyDescent="0.2">
      <c r="B6" s="13" t="s">
        <v>113</v>
      </c>
      <c r="D6" s="119"/>
      <c r="E6" s="119"/>
      <c r="F6" s="119" t="s">
        <v>114</v>
      </c>
      <c r="G6" s="119"/>
      <c r="H6" s="119" t="s">
        <v>115</v>
      </c>
      <c r="I6" s="119"/>
      <c r="J6" s="120">
        <v>41838</v>
      </c>
      <c r="K6" s="8" t="s">
        <v>11</v>
      </c>
      <c r="L6" s="3"/>
    </row>
    <row r="7" spans="1:12" x14ac:dyDescent="0.2">
      <c r="B7" s="119" t="s">
        <v>116</v>
      </c>
      <c r="D7" s="119"/>
      <c r="E7" s="119"/>
      <c r="F7" s="119"/>
      <c r="G7" s="119"/>
      <c r="H7" s="119" t="s">
        <v>117</v>
      </c>
      <c r="I7" s="119"/>
      <c r="J7" s="121">
        <v>44852</v>
      </c>
    </row>
    <row r="8" spans="1:12" x14ac:dyDescent="0.2">
      <c r="B8" s="119" t="s">
        <v>118</v>
      </c>
      <c r="C8" s="119"/>
      <c r="D8" s="119"/>
      <c r="E8" s="119"/>
      <c r="F8" s="119"/>
      <c r="G8" s="119"/>
      <c r="H8" s="119" t="s">
        <v>119</v>
      </c>
      <c r="I8" s="119"/>
      <c r="J8" s="121">
        <v>45855</v>
      </c>
    </row>
    <row r="9" spans="1:12" x14ac:dyDescent="0.2">
      <c r="B9" s="119" t="s">
        <v>120</v>
      </c>
      <c r="C9" s="119"/>
      <c r="D9" s="119"/>
      <c r="E9" s="119"/>
      <c r="F9" s="119"/>
      <c r="G9" s="119"/>
      <c r="H9" s="119"/>
      <c r="I9" s="119"/>
      <c r="J9" s="119"/>
    </row>
    <row r="10" spans="1:12" x14ac:dyDescent="0.2">
      <c r="C10" s="11"/>
      <c r="E10" s="6"/>
      <c r="F10" s="7"/>
      <c r="I10" s="9"/>
      <c r="J10" s="10"/>
    </row>
    <row r="11" spans="1:12" x14ac:dyDescent="0.2">
      <c r="C11" s="11"/>
      <c r="D11" s="12"/>
      <c r="F11" s="7"/>
      <c r="I11" s="9"/>
      <c r="J11" s="10"/>
    </row>
    <row r="12" spans="1:12" x14ac:dyDescent="0.2">
      <c r="E12" s="12"/>
      <c r="F12" s="7"/>
      <c r="I12" s="10"/>
      <c r="J12" s="10"/>
      <c r="K12" s="10"/>
    </row>
    <row r="13" spans="1:12" ht="51" customHeight="1" x14ac:dyDescent="0.2">
      <c r="C13" s="13"/>
      <c r="F13" s="7"/>
    </row>
    <row r="14" spans="1:12" x14ac:dyDescent="0.2">
      <c r="A14" s="4" t="s">
        <v>12</v>
      </c>
      <c r="B14" s="5"/>
      <c r="C14" s="4"/>
      <c r="D14" s="4"/>
      <c r="E14" s="4"/>
      <c r="F14" s="4"/>
      <c r="G14" s="4"/>
      <c r="H14" s="4"/>
      <c r="I14" s="4"/>
      <c r="J14" s="4"/>
      <c r="K14" s="4"/>
    </row>
    <row r="16" spans="1:12" x14ac:dyDescent="0.2">
      <c r="A16" s="14" t="s">
        <v>13</v>
      </c>
      <c r="B16" s="115" t="s">
        <v>14</v>
      </c>
      <c r="C16" s="116"/>
      <c r="D16" s="116"/>
      <c r="E16" s="116"/>
      <c r="F16" s="116"/>
      <c r="G16" s="117"/>
      <c r="H16" s="107" t="s">
        <v>15</v>
      </c>
      <c r="I16" s="108"/>
      <c r="J16" s="18" t="s">
        <v>16</v>
      </c>
      <c r="K16" s="14" t="s">
        <v>17</v>
      </c>
      <c r="L16" s="14" t="s">
        <v>18</v>
      </c>
    </row>
    <row r="17" spans="1:12" x14ac:dyDescent="0.2">
      <c r="A17" s="19" t="s">
        <v>19</v>
      </c>
      <c r="B17" s="20"/>
      <c r="C17" s="21"/>
      <c r="D17" s="21"/>
      <c r="E17" s="21"/>
      <c r="F17" s="21"/>
      <c r="G17" s="22"/>
      <c r="H17" s="23"/>
      <c r="I17" s="22"/>
      <c r="J17" s="22"/>
      <c r="K17" s="24"/>
      <c r="L17" s="24"/>
    </row>
    <row r="18" spans="1:12" x14ac:dyDescent="0.2">
      <c r="A18" s="25" t="s">
        <v>20</v>
      </c>
      <c r="B18" s="6" t="s">
        <v>21</v>
      </c>
      <c r="C18" s="95" t="s">
        <v>22</v>
      </c>
      <c r="D18" s="110"/>
      <c r="E18" s="110"/>
      <c r="F18" s="96"/>
      <c r="H18" s="26"/>
      <c r="I18" s="27"/>
      <c r="J18" s="25"/>
      <c r="K18" s="118"/>
      <c r="L18" s="98"/>
    </row>
    <row r="19" spans="1:12" x14ac:dyDescent="0.2">
      <c r="A19" s="28"/>
      <c r="H19" s="29"/>
      <c r="I19" s="30"/>
      <c r="J19" s="28"/>
      <c r="K19" s="100"/>
      <c r="L19" s="98"/>
    </row>
    <row r="20" spans="1:12" ht="8" customHeight="1" x14ac:dyDescent="0.2">
      <c r="A20" s="31"/>
      <c r="B20" s="32"/>
      <c r="C20" s="32"/>
      <c r="D20" s="32"/>
      <c r="E20" s="32"/>
      <c r="F20" s="32"/>
      <c r="G20" s="33"/>
      <c r="H20" s="32"/>
      <c r="I20" s="33"/>
      <c r="J20" s="31"/>
      <c r="K20" s="34"/>
      <c r="L20" s="35"/>
    </row>
    <row r="21" spans="1:12" x14ac:dyDescent="0.2">
      <c r="A21" s="28" t="s">
        <v>23</v>
      </c>
      <c r="H21" s="29"/>
      <c r="I21" s="30"/>
      <c r="J21" s="28"/>
      <c r="K21" s="100"/>
      <c r="L21" s="98"/>
    </row>
    <row r="22" spans="1:12" x14ac:dyDescent="0.2">
      <c r="A22" s="28"/>
      <c r="H22" s="29"/>
      <c r="I22" s="30"/>
      <c r="J22" s="28"/>
      <c r="K22" s="100"/>
      <c r="L22" s="98"/>
    </row>
    <row r="23" spans="1:12" ht="8" customHeight="1" x14ac:dyDescent="0.2">
      <c r="A23" s="36"/>
      <c r="B23" s="37"/>
      <c r="C23" s="32"/>
      <c r="D23" s="32"/>
      <c r="E23" s="32"/>
      <c r="F23" s="32"/>
      <c r="G23" s="33"/>
      <c r="H23" s="36"/>
      <c r="I23" s="33"/>
      <c r="J23" s="33"/>
      <c r="K23" s="38"/>
      <c r="L23" s="39"/>
    </row>
    <row r="24" spans="1:12" ht="16" customHeight="1" thickBot="1" x14ac:dyDescent="0.25">
      <c r="A24" s="30" t="s">
        <v>24</v>
      </c>
      <c r="B24" s="6" t="s">
        <v>21</v>
      </c>
      <c r="C24" s="95" t="s">
        <v>22</v>
      </c>
      <c r="D24" s="110"/>
      <c r="E24" s="110"/>
      <c r="F24" s="96"/>
      <c r="H24" s="29"/>
      <c r="I24" s="30"/>
      <c r="J24" s="28"/>
      <c r="K24" s="113"/>
      <c r="L24" s="98"/>
    </row>
    <row r="25" spans="1:12" ht="17" thickBot="1" x14ac:dyDescent="0.25">
      <c r="A25" s="40" t="s">
        <v>25</v>
      </c>
      <c r="B25" s="6" t="s">
        <v>26</v>
      </c>
      <c r="C25" s="95" t="s">
        <v>121</v>
      </c>
      <c r="D25" s="110"/>
      <c r="E25" s="96"/>
      <c r="F25" s="41" t="s">
        <v>122</v>
      </c>
      <c r="H25" s="29" t="s">
        <v>123</v>
      </c>
      <c r="I25" s="30"/>
      <c r="J25" s="28"/>
      <c r="K25" s="114"/>
      <c r="L25" s="98"/>
    </row>
    <row r="26" spans="1:12" x14ac:dyDescent="0.2">
      <c r="A26" s="28"/>
      <c r="B26" s="6" t="s">
        <v>27</v>
      </c>
      <c r="C26" s="95" t="s">
        <v>124</v>
      </c>
      <c r="D26" s="110"/>
      <c r="E26" s="96"/>
      <c r="F26" s="41" t="s">
        <v>122</v>
      </c>
      <c r="H26" s="29"/>
      <c r="I26" s="30"/>
      <c r="J26" s="28"/>
      <c r="K26" s="114"/>
      <c r="L26" s="98"/>
    </row>
    <row r="27" spans="1:12" x14ac:dyDescent="0.2">
      <c r="A27" s="30"/>
      <c r="H27" s="29"/>
      <c r="I27" s="30"/>
      <c r="J27" s="28"/>
      <c r="K27" s="114"/>
      <c r="L27" s="98"/>
    </row>
    <row r="28" spans="1:12" ht="8" customHeight="1" x14ac:dyDescent="0.2">
      <c r="A28" s="31"/>
      <c r="B28" s="37"/>
      <c r="C28" s="32"/>
      <c r="D28" s="32"/>
      <c r="E28" s="32"/>
      <c r="F28" s="32"/>
      <c r="G28" s="33"/>
      <c r="H28" s="36"/>
      <c r="I28" s="33"/>
      <c r="J28" s="31"/>
      <c r="K28" s="38"/>
      <c r="L28" s="42"/>
    </row>
    <row r="29" spans="1:12" ht="16" customHeight="1" x14ac:dyDescent="0.2">
      <c r="A29" s="28" t="s">
        <v>28</v>
      </c>
      <c r="B29" s="6" t="s">
        <v>21</v>
      </c>
      <c r="C29" s="95"/>
      <c r="D29" s="110"/>
      <c r="E29" s="110"/>
      <c r="F29" s="96"/>
      <c r="H29" s="29"/>
      <c r="I29" s="30"/>
      <c r="J29" s="28"/>
      <c r="K29" s="97"/>
      <c r="L29" s="98"/>
    </row>
    <row r="30" spans="1:12" x14ac:dyDescent="0.2">
      <c r="A30" s="28"/>
      <c r="B30" s="43" t="s">
        <v>29</v>
      </c>
      <c r="C30" s="44">
        <v>1000</v>
      </c>
      <c r="D30" t="str">
        <f>IF(B30="Oral NOAEL =","mg/kg bw/day",IF(B30="Inhalation NOAEL =","mg/l 6-8 h/day"," "))</f>
        <v>mg/kg bw/day</v>
      </c>
      <c r="H30" s="29" t="s">
        <v>123</v>
      </c>
      <c r="I30" s="30"/>
      <c r="J30" s="28"/>
      <c r="K30" s="97"/>
      <c r="L30" s="98"/>
    </row>
    <row r="31" spans="1:12" x14ac:dyDescent="0.2">
      <c r="A31" s="28"/>
      <c r="H31" s="29"/>
      <c r="I31" s="30"/>
      <c r="J31" s="28"/>
      <c r="K31" s="97"/>
      <c r="L31" s="98"/>
    </row>
    <row r="32" spans="1:12" ht="8" customHeight="1" x14ac:dyDescent="0.2">
      <c r="A32" s="36"/>
      <c r="B32" s="37"/>
      <c r="C32" s="32"/>
      <c r="D32" s="32"/>
      <c r="E32" s="32"/>
      <c r="F32" s="32"/>
      <c r="G32" s="33"/>
      <c r="H32" s="36"/>
      <c r="I32" s="33"/>
      <c r="J32" s="31"/>
      <c r="K32" s="45"/>
      <c r="L32" s="46"/>
    </row>
    <row r="33" spans="1:12" x14ac:dyDescent="0.2">
      <c r="A33" s="30" t="s">
        <v>30</v>
      </c>
      <c r="B33" s="6" t="s">
        <v>21</v>
      </c>
      <c r="C33" s="95"/>
      <c r="D33" s="110"/>
      <c r="E33" s="110"/>
      <c r="F33" s="96"/>
      <c r="H33" s="29"/>
      <c r="I33" s="30"/>
      <c r="J33" s="28"/>
      <c r="K33" s="97"/>
      <c r="L33" s="98"/>
    </row>
    <row r="34" spans="1:12" x14ac:dyDescent="0.2">
      <c r="A34" s="30"/>
      <c r="B34" s="43" t="s">
        <v>29</v>
      </c>
      <c r="C34" s="44">
        <v>1000</v>
      </c>
      <c r="D34" t="str">
        <f>IF(B34="Oral NOAEL =","mg/kg bw/day",IF(B34="Inhalation NOAEL =","mg/l 6-8 h/day"," "))</f>
        <v>mg/kg bw/day</v>
      </c>
      <c r="H34" s="29" t="s">
        <v>123</v>
      </c>
      <c r="I34" s="30"/>
      <c r="J34" s="28"/>
      <c r="K34" s="97"/>
      <c r="L34" s="98"/>
    </row>
    <row r="35" spans="1:12" x14ac:dyDescent="0.2">
      <c r="A35" s="30"/>
      <c r="H35" s="29"/>
      <c r="I35" s="30"/>
      <c r="J35" s="28"/>
      <c r="K35" s="97"/>
      <c r="L35" s="98"/>
    </row>
    <row r="36" spans="1:12" ht="8" customHeight="1" x14ac:dyDescent="0.2">
      <c r="A36" s="36"/>
      <c r="B36" s="37"/>
      <c r="C36" s="32"/>
      <c r="D36" s="32"/>
      <c r="E36" s="32"/>
      <c r="F36" s="32"/>
      <c r="G36" s="33"/>
      <c r="H36" s="36"/>
      <c r="I36" s="33"/>
      <c r="J36" s="31"/>
      <c r="K36" s="45"/>
      <c r="L36" s="42"/>
    </row>
    <row r="37" spans="1:12" x14ac:dyDescent="0.2">
      <c r="A37" s="30" t="s">
        <v>31</v>
      </c>
      <c r="G37" s="30"/>
      <c r="I37" s="30"/>
      <c r="J37" s="28"/>
      <c r="K37" s="112"/>
      <c r="L37" s="98"/>
    </row>
    <row r="38" spans="1:12" x14ac:dyDescent="0.2">
      <c r="A38" s="30"/>
      <c r="B38"/>
      <c r="G38" s="30"/>
      <c r="I38" s="30"/>
      <c r="J38" s="28"/>
      <c r="K38" s="112"/>
      <c r="L38" s="98"/>
    </row>
    <row r="39" spans="1:12" ht="8" customHeight="1" x14ac:dyDescent="0.2">
      <c r="A39" s="31"/>
      <c r="B39" s="37"/>
      <c r="C39" s="32"/>
      <c r="D39" s="32"/>
      <c r="E39" s="32"/>
      <c r="F39" s="32"/>
      <c r="G39" s="33"/>
      <c r="H39" s="36"/>
      <c r="I39" s="33"/>
      <c r="J39" s="31"/>
      <c r="K39" s="45"/>
      <c r="L39" s="42"/>
    </row>
    <row r="40" spans="1:12" x14ac:dyDescent="0.2">
      <c r="A40" s="30" t="s">
        <v>32</v>
      </c>
      <c r="B40" s="6" t="s">
        <v>33</v>
      </c>
      <c r="C40" s="95"/>
      <c r="D40" s="110"/>
      <c r="E40" s="110"/>
      <c r="F40" s="96"/>
      <c r="G40" s="30"/>
      <c r="I40" s="30"/>
      <c r="J40" s="28"/>
      <c r="K40" s="97"/>
      <c r="L40" s="98"/>
    </row>
    <row r="41" spans="1:12" x14ac:dyDescent="0.2">
      <c r="A41" s="30"/>
      <c r="B41" s="6" t="s">
        <v>34</v>
      </c>
      <c r="C41" s="95"/>
      <c r="D41" s="110"/>
      <c r="E41" s="110"/>
      <c r="F41" s="96"/>
      <c r="G41" s="30"/>
      <c r="I41" s="30"/>
      <c r="J41" s="28"/>
      <c r="K41" s="97"/>
      <c r="L41" s="98"/>
    </row>
    <row r="42" spans="1:12" x14ac:dyDescent="0.2">
      <c r="B42" s="47" t="s">
        <v>35</v>
      </c>
      <c r="C42" s="48">
        <v>2000</v>
      </c>
      <c r="D42" t="s">
        <v>36</v>
      </c>
      <c r="E42" s="7"/>
      <c r="G42" s="30"/>
      <c r="H42" s="29" t="s">
        <v>123</v>
      </c>
      <c r="I42" s="30"/>
      <c r="J42" s="28"/>
      <c r="K42" s="97"/>
      <c r="L42" s="98"/>
    </row>
    <row r="43" spans="1:12" x14ac:dyDescent="0.2">
      <c r="B43" s="47" t="s">
        <v>37</v>
      </c>
      <c r="C43" s="48">
        <v>1000</v>
      </c>
      <c r="D43" t="s">
        <v>38</v>
      </c>
      <c r="G43" s="30"/>
      <c r="H43" s="29"/>
      <c r="I43" s="30"/>
      <c r="J43" s="28"/>
      <c r="K43" s="97"/>
      <c r="L43" s="98"/>
    </row>
    <row r="44" spans="1:12" x14ac:dyDescent="0.2">
      <c r="A44" s="30"/>
      <c r="G44" s="30"/>
      <c r="I44" s="30"/>
      <c r="J44" s="28"/>
      <c r="K44" s="97"/>
      <c r="L44" s="98"/>
    </row>
    <row r="45" spans="1:12" ht="8" customHeight="1" x14ac:dyDescent="0.2">
      <c r="A45" s="31"/>
      <c r="B45" s="37"/>
      <c r="C45" s="32"/>
      <c r="D45" s="32"/>
      <c r="E45" s="32"/>
      <c r="F45" s="32"/>
      <c r="G45" s="33"/>
      <c r="H45" s="36"/>
      <c r="I45" s="33"/>
      <c r="J45" s="31"/>
      <c r="K45" s="45"/>
      <c r="L45" s="42"/>
    </row>
    <row r="46" spans="1:12" x14ac:dyDescent="0.2">
      <c r="A46" s="30" t="s">
        <v>39</v>
      </c>
      <c r="B46" s="6" t="s">
        <v>40</v>
      </c>
      <c r="C46" s="95"/>
      <c r="D46" s="110"/>
      <c r="E46" s="110"/>
      <c r="F46" s="96"/>
      <c r="G46" s="30"/>
      <c r="I46" s="30"/>
      <c r="J46" s="28"/>
      <c r="K46" s="98"/>
      <c r="L46" s="98"/>
    </row>
    <row r="47" spans="1:12" x14ac:dyDescent="0.2">
      <c r="A47" s="30"/>
      <c r="B47" s="6" t="s">
        <v>34</v>
      </c>
      <c r="C47" s="95"/>
      <c r="D47" s="110"/>
      <c r="E47" s="110"/>
      <c r="F47" s="96"/>
      <c r="G47" s="30"/>
      <c r="H47" s="29"/>
      <c r="I47" s="30"/>
      <c r="J47" s="28"/>
      <c r="K47" s="98"/>
      <c r="L47" s="98"/>
    </row>
    <row r="48" spans="1:12" x14ac:dyDescent="0.2">
      <c r="A48" s="30"/>
      <c r="B48" s="43" t="s">
        <v>125</v>
      </c>
      <c r="C48" s="48">
        <v>1.7210000000000001</v>
      </c>
      <c r="D48" t="str">
        <f>IF(B48="Acute: LC50 (dust/mist/aerosol) =","mg/l/4h",IF(B48="Acute: LC50 (vapor) =","mg/l/4h",IF(B48="Acute: LC50 (gas) =","ppmV")))</f>
        <v>mg/l/4h</v>
      </c>
      <c r="G48" s="30"/>
      <c r="H48" s="29" t="s">
        <v>123</v>
      </c>
      <c r="I48" s="30"/>
      <c r="J48" s="28"/>
      <c r="K48" s="98"/>
      <c r="L48" s="98"/>
    </row>
    <row r="49" spans="1:12" x14ac:dyDescent="0.2">
      <c r="A49" s="30"/>
      <c r="B49" s="43" t="s">
        <v>41</v>
      </c>
      <c r="C49" s="48"/>
      <c r="D49" t="str">
        <f>IF(B49="Chronic: LOAEL (dust/mist/aerosol) =","mg/l/6h/d",IF(B49="Chronic: LOAEL (vapor) =","mg/l/6h/d",IF(B49="Chronic: LOAEL (gas) =","ppmV/6h/d")))</f>
        <v>mg/l/6h/d</v>
      </c>
      <c r="G49" s="30"/>
      <c r="I49" s="30"/>
      <c r="J49" s="28"/>
      <c r="K49" s="98"/>
      <c r="L49" s="98"/>
    </row>
    <row r="50" spans="1:12" x14ac:dyDescent="0.2">
      <c r="A50" s="30"/>
      <c r="G50" s="30"/>
      <c r="I50" s="30"/>
      <c r="J50" s="28"/>
      <c r="K50" s="98"/>
      <c r="L50" s="98"/>
    </row>
    <row r="51" spans="1:12" ht="8" customHeight="1" x14ac:dyDescent="0.2">
      <c r="A51" s="31"/>
      <c r="B51" s="37"/>
      <c r="C51" s="32"/>
      <c r="D51" s="32"/>
      <c r="E51" s="32"/>
      <c r="F51" s="32"/>
      <c r="G51" s="33"/>
      <c r="H51" s="36"/>
      <c r="I51" s="33"/>
      <c r="J51" s="31"/>
      <c r="K51" s="45"/>
      <c r="L51" s="42"/>
    </row>
    <row r="52" spans="1:12" x14ac:dyDescent="0.2">
      <c r="A52" s="30" t="s">
        <v>42</v>
      </c>
      <c r="B52" s="6" t="s">
        <v>43</v>
      </c>
      <c r="C52" s="95"/>
      <c r="D52" s="110"/>
      <c r="E52" s="110"/>
      <c r="F52" s="96"/>
      <c r="G52" s="30"/>
      <c r="I52" s="30"/>
      <c r="J52" s="28"/>
      <c r="K52" s="97" t="s">
        <v>127</v>
      </c>
      <c r="L52" s="98"/>
    </row>
    <row r="53" spans="1:12" x14ac:dyDescent="0.2">
      <c r="A53" s="30"/>
      <c r="B53" s="6" t="s">
        <v>34</v>
      </c>
      <c r="C53" s="95"/>
      <c r="D53" s="110"/>
      <c r="E53" s="110"/>
      <c r="F53" s="96"/>
      <c r="G53" s="30"/>
      <c r="H53" t="s">
        <v>123</v>
      </c>
      <c r="I53" s="30"/>
      <c r="J53" s="28"/>
      <c r="K53" s="97"/>
      <c r="L53" s="98"/>
    </row>
    <row r="54" spans="1:12" x14ac:dyDescent="0.2">
      <c r="A54" s="30"/>
      <c r="B54" s="6" t="s">
        <v>35</v>
      </c>
      <c r="C54" s="48"/>
      <c r="D54" t="s">
        <v>44</v>
      </c>
      <c r="G54" s="30"/>
      <c r="H54" s="29"/>
      <c r="I54" s="30"/>
      <c r="J54" s="28"/>
      <c r="K54" s="97"/>
      <c r="L54" s="98"/>
    </row>
    <row r="55" spans="1:12" x14ac:dyDescent="0.2">
      <c r="B55" s="47" t="s">
        <v>37</v>
      </c>
      <c r="C55" s="48"/>
      <c r="D55" t="s">
        <v>38</v>
      </c>
      <c r="G55" s="30"/>
      <c r="I55" s="30"/>
      <c r="J55" s="28"/>
      <c r="K55" s="97"/>
      <c r="L55" s="98"/>
    </row>
    <row r="56" spans="1:12" x14ac:dyDescent="0.2">
      <c r="A56" s="30"/>
      <c r="B56" s="47" t="s">
        <v>126</v>
      </c>
      <c r="G56" s="30"/>
      <c r="I56" s="30"/>
      <c r="J56" s="28"/>
      <c r="K56" s="97"/>
      <c r="L56" s="98"/>
    </row>
    <row r="57" spans="1:12" ht="8" customHeight="1" x14ac:dyDescent="0.2">
      <c r="A57" s="31"/>
      <c r="B57" s="37"/>
      <c r="C57" s="32"/>
      <c r="D57" s="32"/>
      <c r="E57" s="32"/>
      <c r="F57" s="32"/>
      <c r="G57" s="33"/>
      <c r="H57" s="36"/>
      <c r="I57" s="33"/>
      <c r="J57" s="31"/>
      <c r="K57" s="45"/>
      <c r="L57" s="42"/>
    </row>
    <row r="58" spans="1:12" x14ac:dyDescent="0.2">
      <c r="A58" s="30" t="s">
        <v>45</v>
      </c>
      <c r="B58" s="6" t="s">
        <v>46</v>
      </c>
      <c r="C58" s="95" t="s">
        <v>128</v>
      </c>
      <c r="D58" s="110"/>
      <c r="E58" s="110"/>
      <c r="F58" s="96"/>
      <c r="G58" s="30"/>
      <c r="H58" t="s">
        <v>123</v>
      </c>
      <c r="I58" s="30"/>
      <c r="J58" s="28"/>
      <c r="K58" s="97"/>
      <c r="L58" s="98"/>
    </row>
    <row r="59" spans="1:12" x14ac:dyDescent="0.2">
      <c r="A59" s="30"/>
      <c r="B59" s="6" t="s">
        <v>47</v>
      </c>
      <c r="C59" s="95" t="s">
        <v>128</v>
      </c>
      <c r="D59" s="110"/>
      <c r="E59" s="110"/>
      <c r="F59" s="96"/>
      <c r="G59" s="30"/>
      <c r="I59" s="30"/>
      <c r="J59" s="28"/>
      <c r="K59" s="97"/>
      <c r="L59" s="98"/>
    </row>
    <row r="60" spans="1:12" x14ac:dyDescent="0.2">
      <c r="A60" s="30"/>
      <c r="B60" s="6" t="s">
        <v>48</v>
      </c>
      <c r="C60" s="95"/>
      <c r="D60" s="110"/>
      <c r="E60" s="110"/>
      <c r="F60" s="96"/>
      <c r="G60" s="30"/>
      <c r="I60" s="30"/>
      <c r="J60" s="28"/>
      <c r="K60" s="97"/>
      <c r="L60" s="98"/>
    </row>
    <row r="61" spans="1:12" x14ac:dyDescent="0.2">
      <c r="A61" s="30"/>
      <c r="B61" s="6" t="str">
        <f>IF(AND(C58="No data",C59="No data",C60="No data"),"No studies available: pH =","")</f>
        <v/>
      </c>
      <c r="C61" s="49"/>
      <c r="G61" s="30"/>
      <c r="I61" s="30"/>
      <c r="J61" s="28"/>
      <c r="K61" s="97"/>
      <c r="L61" s="98"/>
    </row>
    <row r="62" spans="1:12" x14ac:dyDescent="0.2">
      <c r="A62" s="30"/>
      <c r="G62" s="30"/>
      <c r="I62" s="30"/>
      <c r="J62" s="28"/>
      <c r="K62" s="97"/>
      <c r="L62" s="98"/>
    </row>
    <row r="63" spans="1:12" ht="8" customHeight="1" x14ac:dyDescent="0.2">
      <c r="A63" s="31"/>
      <c r="B63" s="37"/>
      <c r="C63" s="32"/>
      <c r="D63" s="32"/>
      <c r="E63" s="32"/>
      <c r="F63" s="32"/>
      <c r="G63" s="33"/>
      <c r="H63" s="36"/>
      <c r="I63" s="33"/>
      <c r="J63" s="31"/>
      <c r="K63" s="45"/>
      <c r="L63" s="42"/>
    </row>
    <row r="64" spans="1:12" x14ac:dyDescent="0.2">
      <c r="A64" s="30" t="s">
        <v>49</v>
      </c>
      <c r="B64" s="6" t="s">
        <v>46</v>
      </c>
      <c r="C64" s="95" t="s">
        <v>129</v>
      </c>
      <c r="D64" s="110"/>
      <c r="E64" s="110"/>
      <c r="F64" s="96"/>
      <c r="G64" s="30"/>
      <c r="H64" t="s">
        <v>123</v>
      </c>
      <c r="I64" s="30"/>
      <c r="J64" s="28"/>
      <c r="K64" s="111"/>
      <c r="L64" s="98"/>
    </row>
    <row r="65" spans="1:12" ht="16" customHeight="1" x14ac:dyDescent="0.2">
      <c r="A65" s="30"/>
      <c r="B65" s="6" t="s">
        <v>50</v>
      </c>
      <c r="C65" s="103"/>
      <c r="D65" s="104"/>
      <c r="E65" s="104"/>
      <c r="F65" s="105"/>
      <c r="G65" s="30"/>
      <c r="I65" s="30"/>
      <c r="J65" s="28"/>
      <c r="K65" s="111"/>
      <c r="L65" s="98"/>
    </row>
    <row r="66" spans="1:12" x14ac:dyDescent="0.2">
      <c r="A66" s="30"/>
      <c r="G66" s="30"/>
      <c r="I66" s="30"/>
      <c r="J66" s="28"/>
      <c r="K66" s="111"/>
      <c r="L66" s="98"/>
    </row>
    <row r="67" spans="1:12" ht="8" customHeight="1" x14ac:dyDescent="0.2">
      <c r="A67" s="31"/>
      <c r="B67" s="37"/>
      <c r="C67" s="32"/>
      <c r="D67" s="32"/>
      <c r="E67" s="32"/>
      <c r="F67" s="32"/>
      <c r="G67" s="33"/>
      <c r="H67" s="36"/>
      <c r="I67" s="33"/>
      <c r="J67" s="31"/>
      <c r="K67" s="45"/>
      <c r="L67" s="42"/>
    </row>
    <row r="68" spans="1:12" x14ac:dyDescent="0.2">
      <c r="A68" s="30" t="s">
        <v>51</v>
      </c>
      <c r="G68" s="30"/>
      <c r="I68" s="30"/>
      <c r="J68" s="28"/>
      <c r="K68" s="100"/>
      <c r="L68" s="98"/>
    </row>
    <row r="69" spans="1:12" x14ac:dyDescent="0.2">
      <c r="A69" s="50"/>
      <c r="B69" s="51"/>
      <c r="C69" s="52"/>
      <c r="D69" s="52"/>
      <c r="E69" s="52"/>
      <c r="F69" s="52"/>
      <c r="G69" s="50"/>
      <c r="H69" s="52"/>
      <c r="I69" s="50"/>
      <c r="J69" s="53"/>
      <c r="K69" s="101"/>
      <c r="L69" s="102"/>
    </row>
    <row r="70" spans="1:12" x14ac:dyDescent="0.2">
      <c r="A70" s="54"/>
      <c r="H70" s="54"/>
      <c r="J70" s="54"/>
      <c r="K70" s="54"/>
      <c r="L70" s="55"/>
    </row>
    <row r="71" spans="1:12" x14ac:dyDescent="0.2">
      <c r="A71" s="14" t="s">
        <v>13</v>
      </c>
      <c r="B71" s="15" t="s">
        <v>14</v>
      </c>
      <c r="C71" s="16"/>
      <c r="D71" s="16"/>
      <c r="E71" s="16"/>
      <c r="F71" s="16"/>
      <c r="G71" s="17"/>
      <c r="H71" s="107" t="s">
        <v>15</v>
      </c>
      <c r="I71" s="108"/>
      <c r="J71" s="14"/>
      <c r="K71" s="18"/>
      <c r="L71" s="14" t="s">
        <v>52</v>
      </c>
    </row>
    <row r="72" spans="1:12" x14ac:dyDescent="0.2">
      <c r="A72" s="56" t="s">
        <v>53</v>
      </c>
      <c r="B72" s="57"/>
      <c r="C72" s="58"/>
      <c r="D72" s="58"/>
      <c r="E72" s="58"/>
      <c r="F72" s="58"/>
      <c r="G72" s="59"/>
      <c r="H72" s="60"/>
      <c r="I72" s="59"/>
      <c r="J72" s="56"/>
      <c r="K72" s="59"/>
      <c r="L72" s="59"/>
    </row>
    <row r="73" spans="1:12" ht="16" customHeight="1" x14ac:dyDescent="0.2">
      <c r="A73" s="30" t="s">
        <v>54</v>
      </c>
      <c r="B73" s="6" t="s">
        <v>40</v>
      </c>
      <c r="C73" s="103"/>
      <c r="D73" s="104"/>
      <c r="E73" s="104"/>
      <c r="F73" s="105"/>
      <c r="G73" s="30"/>
      <c r="I73" s="30"/>
      <c r="J73" s="28"/>
      <c r="K73" s="106"/>
      <c r="L73" s="109"/>
    </row>
    <row r="74" spans="1:12" x14ac:dyDescent="0.2">
      <c r="A74" s="30"/>
      <c r="B74" s="6" t="s">
        <v>55</v>
      </c>
      <c r="C74" s="48">
        <v>100</v>
      </c>
      <c r="D74" t="s">
        <v>56</v>
      </c>
      <c r="G74" s="30"/>
      <c r="H74" s="61" t="s">
        <v>123</v>
      </c>
      <c r="I74" s="30"/>
      <c r="J74" s="28"/>
      <c r="K74" s="97"/>
      <c r="L74" s="98"/>
    </row>
    <row r="75" spans="1:12" x14ac:dyDescent="0.2">
      <c r="A75" s="30"/>
      <c r="B75" s="6" t="s">
        <v>57</v>
      </c>
      <c r="C75" s="62"/>
      <c r="D75" t="s">
        <v>56</v>
      </c>
      <c r="G75" s="30"/>
      <c r="I75" s="30"/>
      <c r="J75" s="28"/>
      <c r="K75" s="97"/>
      <c r="L75" s="98"/>
    </row>
    <row r="76" spans="1:12" x14ac:dyDescent="0.2">
      <c r="A76" s="30"/>
      <c r="B76" s="6" t="s">
        <v>58</v>
      </c>
      <c r="C76" s="48"/>
      <c r="D76" t="s">
        <v>56</v>
      </c>
      <c r="G76" s="30"/>
      <c r="I76" s="30"/>
      <c r="J76" s="28"/>
      <c r="K76" s="97"/>
      <c r="L76" s="98"/>
    </row>
    <row r="77" spans="1:12" x14ac:dyDescent="0.2">
      <c r="A77" s="30"/>
      <c r="G77" s="30"/>
      <c r="I77" s="30"/>
      <c r="J77" s="28"/>
      <c r="K77" s="97"/>
      <c r="L77" s="98"/>
    </row>
    <row r="78" spans="1:12" ht="8" customHeight="1" x14ac:dyDescent="0.2">
      <c r="A78" s="31"/>
      <c r="B78" s="37"/>
      <c r="C78" s="32"/>
      <c r="D78" s="32"/>
      <c r="E78" s="32"/>
      <c r="F78" s="32"/>
      <c r="G78" s="33"/>
      <c r="H78" s="36"/>
      <c r="I78" s="33"/>
      <c r="J78" s="31"/>
      <c r="K78" s="45"/>
      <c r="L78" s="42"/>
    </row>
    <row r="79" spans="1:12" ht="16" customHeight="1" x14ac:dyDescent="0.2">
      <c r="A79" s="30" t="s">
        <v>59</v>
      </c>
      <c r="B79" s="6" t="s">
        <v>40</v>
      </c>
      <c r="C79" s="103"/>
      <c r="D79" s="104"/>
      <c r="E79" s="104"/>
      <c r="F79" s="105"/>
      <c r="G79" s="30"/>
      <c r="I79" s="30"/>
      <c r="J79" s="28"/>
      <c r="K79" s="106"/>
      <c r="L79" s="98"/>
    </row>
    <row r="80" spans="1:12" x14ac:dyDescent="0.2">
      <c r="A80" s="30"/>
      <c r="B80" s="6" t="s">
        <v>60</v>
      </c>
      <c r="C80" s="48">
        <v>380</v>
      </c>
      <c r="D80" t="s">
        <v>56</v>
      </c>
      <c r="G80" s="30"/>
      <c r="H80" t="s">
        <v>123</v>
      </c>
      <c r="I80" s="30"/>
      <c r="J80" s="28"/>
      <c r="K80" s="97"/>
      <c r="L80" s="98"/>
    </row>
    <row r="81" spans="1:12" x14ac:dyDescent="0.2">
      <c r="A81" s="30"/>
      <c r="B81" s="6" t="s">
        <v>57</v>
      </c>
      <c r="C81" s="48">
        <v>94</v>
      </c>
      <c r="D81" t="s">
        <v>56</v>
      </c>
      <c r="G81" s="30"/>
      <c r="H81" s="61"/>
      <c r="I81" s="30"/>
      <c r="J81" s="28"/>
      <c r="K81" s="97"/>
      <c r="L81" s="98"/>
    </row>
    <row r="82" spans="1:12" x14ac:dyDescent="0.2">
      <c r="A82" s="30"/>
      <c r="B82" s="6" t="s">
        <v>58</v>
      </c>
      <c r="C82" s="48"/>
      <c r="D82" t="s">
        <v>56</v>
      </c>
      <c r="G82" s="30"/>
      <c r="H82" s="61"/>
      <c r="I82" s="30"/>
      <c r="J82" s="28"/>
      <c r="K82" s="97"/>
      <c r="L82" s="98"/>
    </row>
    <row r="83" spans="1:12" x14ac:dyDescent="0.2">
      <c r="A83" s="30"/>
      <c r="G83" s="30"/>
      <c r="H83" s="61"/>
      <c r="I83" s="30"/>
      <c r="J83" s="28"/>
      <c r="K83" s="97"/>
      <c r="L83" s="98"/>
    </row>
    <row r="84" spans="1:12" ht="8" customHeight="1" x14ac:dyDescent="0.2">
      <c r="A84" s="31"/>
      <c r="B84" s="37"/>
      <c r="C84" s="32"/>
      <c r="D84" s="32"/>
      <c r="E84" s="32"/>
      <c r="F84" s="32"/>
      <c r="G84" s="33"/>
      <c r="H84" s="36"/>
      <c r="I84" s="33"/>
      <c r="J84" s="31"/>
      <c r="K84" s="45"/>
      <c r="L84" s="42"/>
    </row>
    <row r="85" spans="1:12" ht="16" customHeight="1" x14ac:dyDescent="0.2">
      <c r="A85" s="30" t="s">
        <v>61</v>
      </c>
      <c r="B85" s="6" t="s">
        <v>40</v>
      </c>
      <c r="C85" s="103"/>
      <c r="D85" s="104"/>
      <c r="E85" s="104"/>
      <c r="F85" s="105"/>
      <c r="G85" s="30"/>
      <c r="I85" s="30"/>
      <c r="J85" s="28"/>
      <c r="K85" s="106"/>
      <c r="L85" s="98"/>
    </row>
    <row r="86" spans="1:12" x14ac:dyDescent="0.2">
      <c r="A86" s="30"/>
      <c r="B86" s="6" t="s">
        <v>62</v>
      </c>
      <c r="C86" s="63">
        <v>940</v>
      </c>
      <c r="D86" t="s">
        <v>56</v>
      </c>
      <c r="G86" s="30"/>
      <c r="H86" t="s">
        <v>123</v>
      </c>
      <c r="I86" s="30"/>
      <c r="J86" s="30"/>
      <c r="K86" s="97"/>
      <c r="L86" s="98"/>
    </row>
    <row r="87" spans="1:12" x14ac:dyDescent="0.2">
      <c r="A87" s="30"/>
      <c r="B87" s="6" t="s">
        <v>57</v>
      </c>
      <c r="C87" s="48"/>
      <c r="D87" t="s">
        <v>56</v>
      </c>
      <c r="G87" s="30"/>
      <c r="H87" s="61"/>
      <c r="I87" s="30"/>
      <c r="J87" s="30"/>
      <c r="K87" s="97"/>
      <c r="L87" s="98"/>
    </row>
    <row r="88" spans="1:12" x14ac:dyDescent="0.2">
      <c r="A88" s="30"/>
      <c r="B88" s="6" t="s">
        <v>58</v>
      </c>
      <c r="C88" s="48"/>
      <c r="D88" t="s">
        <v>56</v>
      </c>
      <c r="G88" s="30"/>
      <c r="H88" s="61"/>
      <c r="I88" s="30"/>
      <c r="J88" s="30"/>
      <c r="K88" s="97"/>
      <c r="L88" s="98"/>
    </row>
    <row r="89" spans="1:12" x14ac:dyDescent="0.2">
      <c r="A89" s="30"/>
      <c r="G89" s="30"/>
      <c r="H89" s="61"/>
      <c r="I89" s="30"/>
      <c r="J89" s="30"/>
      <c r="K89" s="97"/>
      <c r="L89" s="98"/>
    </row>
    <row r="90" spans="1:12" ht="8" customHeight="1" x14ac:dyDescent="0.2">
      <c r="A90" s="31"/>
      <c r="B90" s="37"/>
      <c r="C90" s="32"/>
      <c r="D90" s="32"/>
      <c r="E90" s="32"/>
      <c r="F90" s="32"/>
      <c r="G90" s="33"/>
      <c r="H90" s="36"/>
      <c r="I90" s="33"/>
      <c r="J90" s="31"/>
      <c r="K90" s="45"/>
      <c r="L90" s="42"/>
    </row>
    <row r="91" spans="1:12" x14ac:dyDescent="0.2">
      <c r="A91" s="30" t="s">
        <v>63</v>
      </c>
      <c r="G91" s="30"/>
      <c r="I91" s="30"/>
      <c r="J91" s="30"/>
      <c r="K91" s="100"/>
      <c r="L91" s="98"/>
    </row>
    <row r="92" spans="1:12" x14ac:dyDescent="0.2">
      <c r="A92" s="30"/>
      <c r="G92" s="30"/>
      <c r="I92" s="30"/>
      <c r="J92" s="30"/>
      <c r="K92" s="100"/>
      <c r="L92" s="98"/>
    </row>
    <row r="93" spans="1:12" ht="6" customHeight="1" x14ac:dyDescent="0.2">
      <c r="A93" s="31"/>
      <c r="B93" s="37"/>
      <c r="C93" s="32"/>
      <c r="D93" s="32"/>
      <c r="E93" s="32"/>
      <c r="F93" s="32"/>
      <c r="G93" s="33"/>
      <c r="H93" s="36"/>
      <c r="I93" s="33"/>
      <c r="J93" s="31"/>
      <c r="K93" s="45"/>
      <c r="L93" s="42"/>
    </row>
    <row r="94" spans="1:12" x14ac:dyDescent="0.2">
      <c r="A94" s="30" t="s">
        <v>64</v>
      </c>
      <c r="G94" s="30"/>
      <c r="I94" s="30"/>
      <c r="J94" s="30"/>
      <c r="K94" s="100"/>
      <c r="L94" s="98"/>
    </row>
    <row r="95" spans="1:12" x14ac:dyDescent="0.2">
      <c r="A95" s="30"/>
      <c r="G95" s="30"/>
      <c r="I95" s="30"/>
      <c r="J95" s="30"/>
      <c r="K95" s="100"/>
      <c r="L95" s="98"/>
    </row>
    <row r="96" spans="1:12" ht="8" customHeight="1" x14ac:dyDescent="0.2">
      <c r="A96" s="31"/>
      <c r="B96" s="37"/>
      <c r="C96" s="32"/>
      <c r="D96" s="32"/>
      <c r="E96" s="32"/>
      <c r="F96" s="32"/>
      <c r="G96" s="33"/>
      <c r="H96" s="36"/>
      <c r="I96" s="33"/>
      <c r="J96" s="31"/>
      <c r="K96" s="45"/>
      <c r="L96" s="42"/>
    </row>
    <row r="97" spans="1:12" x14ac:dyDescent="0.2">
      <c r="A97" s="30" t="s">
        <v>65</v>
      </c>
      <c r="B97" s="64" t="s">
        <v>66</v>
      </c>
      <c r="C97" s="48"/>
      <c r="G97" s="30"/>
      <c r="I97" s="30"/>
      <c r="J97" s="30"/>
      <c r="K97" s="97"/>
      <c r="L97" s="98"/>
    </row>
    <row r="98" spans="1:12" x14ac:dyDescent="0.2">
      <c r="A98" s="30"/>
      <c r="B98" s="6" t="s">
        <v>67</v>
      </c>
      <c r="C98" s="48">
        <v>0.25</v>
      </c>
      <c r="G98" s="30"/>
      <c r="H98" t="s">
        <v>123</v>
      </c>
      <c r="I98" s="30"/>
      <c r="J98" s="30"/>
      <c r="K98" s="97"/>
      <c r="L98" s="98"/>
    </row>
    <row r="99" spans="1:12" x14ac:dyDescent="0.2">
      <c r="A99" s="30"/>
      <c r="B99" s="6" t="s">
        <v>68</v>
      </c>
      <c r="C99" s="48"/>
      <c r="D99" t="s">
        <v>69</v>
      </c>
      <c r="G99" s="30"/>
      <c r="I99" s="30"/>
      <c r="J99" s="30"/>
      <c r="K99" s="97"/>
      <c r="L99" s="98"/>
    </row>
    <row r="100" spans="1:12" x14ac:dyDescent="0.2">
      <c r="A100" s="30"/>
      <c r="G100" s="30"/>
      <c r="I100" s="30"/>
      <c r="J100" s="30"/>
      <c r="K100" s="97"/>
      <c r="L100" s="98"/>
    </row>
    <row r="101" spans="1:12" ht="8" customHeight="1" x14ac:dyDescent="0.2">
      <c r="A101" s="31"/>
      <c r="B101" s="37"/>
      <c r="C101" s="32"/>
      <c r="D101" s="32"/>
      <c r="E101" s="32"/>
      <c r="F101" s="32"/>
      <c r="G101" s="33"/>
      <c r="H101" s="36"/>
      <c r="I101" s="33"/>
      <c r="J101" s="31"/>
      <c r="K101" s="45"/>
      <c r="L101" s="42"/>
    </row>
    <row r="102" spans="1:12" x14ac:dyDescent="0.2">
      <c r="A102" s="30" t="s">
        <v>70</v>
      </c>
      <c r="B102" s="95" t="s">
        <v>71</v>
      </c>
      <c r="C102" s="96"/>
      <c r="D102" s="48">
        <v>76</v>
      </c>
      <c r="E102" t="str">
        <f>IF(B102="% ThOD biodegradation after 28 days:","% degradation (ThOD)",IF(B102="% DOC biodegradation after 28 days:","% degradation (DOC)",IF(B102="Substance is inherently biodegradable","","Assess manually")))</f>
        <v>% degradation (DOC)</v>
      </c>
      <c r="G102" s="30"/>
      <c r="H102" t="s">
        <v>123</v>
      </c>
      <c r="I102" s="30"/>
      <c r="J102" s="30"/>
      <c r="K102" s="97"/>
      <c r="L102" s="98"/>
    </row>
    <row r="103" spans="1:12" x14ac:dyDescent="0.2">
      <c r="A103" s="30"/>
      <c r="B103"/>
      <c r="G103" s="30"/>
      <c r="I103" s="30"/>
      <c r="J103" s="30"/>
      <c r="K103" s="97"/>
      <c r="L103" s="98"/>
    </row>
    <row r="104" spans="1:12" ht="8" customHeight="1" x14ac:dyDescent="0.2">
      <c r="A104" s="31"/>
      <c r="B104" s="37"/>
      <c r="C104" s="32"/>
      <c r="D104" s="32"/>
      <c r="E104" s="32"/>
      <c r="F104" s="32"/>
      <c r="G104" s="33"/>
      <c r="H104" s="36"/>
      <c r="I104" s="33"/>
      <c r="J104" s="31"/>
      <c r="K104" s="45"/>
      <c r="L104" s="42"/>
    </row>
    <row r="105" spans="1:12" ht="15" customHeight="1" x14ac:dyDescent="0.2">
      <c r="A105" s="30" t="s">
        <v>72</v>
      </c>
      <c r="G105" s="30"/>
      <c r="I105" s="30"/>
      <c r="J105" s="30"/>
      <c r="K105" s="99"/>
      <c r="L105" s="98"/>
    </row>
    <row r="106" spans="1:12" x14ac:dyDescent="0.2">
      <c r="A106" s="30"/>
      <c r="G106" s="30"/>
      <c r="I106" s="30"/>
      <c r="J106" s="30"/>
      <c r="K106" s="99"/>
      <c r="L106" s="98"/>
    </row>
    <row r="107" spans="1:12" ht="8" customHeight="1" x14ac:dyDescent="0.2">
      <c r="A107" s="31"/>
      <c r="B107" s="37"/>
      <c r="C107" s="32"/>
      <c r="D107" s="32"/>
      <c r="E107" s="32"/>
      <c r="F107" s="32"/>
      <c r="G107" s="33"/>
      <c r="H107" s="36"/>
      <c r="I107" s="33"/>
      <c r="J107" s="31"/>
      <c r="K107" s="45"/>
      <c r="L107" s="42"/>
    </row>
    <row r="108" spans="1:12" x14ac:dyDescent="0.2">
      <c r="A108" s="30" t="s">
        <v>51</v>
      </c>
      <c r="G108" s="30"/>
      <c r="I108" s="30"/>
      <c r="J108" s="30"/>
      <c r="K108" s="100"/>
      <c r="L108" s="98"/>
    </row>
    <row r="109" spans="1:12" x14ac:dyDescent="0.2">
      <c r="A109" s="30"/>
      <c r="G109" s="30"/>
      <c r="I109" s="30"/>
      <c r="J109" s="30"/>
      <c r="K109" s="101"/>
      <c r="L109" s="102"/>
    </row>
    <row r="110" spans="1:12" x14ac:dyDescent="0.2">
      <c r="A110" s="56" t="s">
        <v>73</v>
      </c>
      <c r="B110" s="65"/>
      <c r="C110" s="58"/>
      <c r="D110" s="58"/>
      <c r="E110" s="58"/>
      <c r="F110" s="58"/>
      <c r="G110" s="59"/>
      <c r="H110" s="60"/>
      <c r="I110" s="59"/>
      <c r="J110" s="59"/>
      <c r="K110" s="66"/>
      <c r="L110" s="59"/>
    </row>
    <row r="111" spans="1:12" x14ac:dyDescent="0.2">
      <c r="A111" s="30" t="s">
        <v>74</v>
      </c>
      <c r="B111"/>
      <c r="G111" s="30"/>
      <c r="I111" s="30"/>
      <c r="J111" s="30"/>
      <c r="K111" s="85" t="s">
        <v>127</v>
      </c>
      <c r="L111" s="86"/>
    </row>
    <row r="112" spans="1:12" x14ac:dyDescent="0.2">
      <c r="A112" s="30"/>
      <c r="B112"/>
      <c r="G112" s="30"/>
      <c r="I112" s="30"/>
      <c r="J112" s="30"/>
      <c r="K112" s="87"/>
      <c r="L112" s="88"/>
    </row>
    <row r="113" spans="1:12" ht="4" customHeight="1" x14ac:dyDescent="0.2">
      <c r="A113" s="31"/>
      <c r="B113" s="37"/>
      <c r="C113" s="32"/>
      <c r="D113" s="32"/>
      <c r="E113" s="32"/>
      <c r="F113" s="32"/>
      <c r="G113" s="33"/>
      <c r="H113" s="36"/>
      <c r="I113" s="33"/>
      <c r="J113" s="31"/>
      <c r="K113" s="67"/>
      <c r="L113" s="68"/>
    </row>
    <row r="114" spans="1:12" x14ac:dyDescent="0.2">
      <c r="A114" s="28" t="s">
        <v>75</v>
      </c>
      <c r="G114" s="30"/>
      <c r="I114" s="30"/>
      <c r="J114" s="30"/>
      <c r="K114" s="85" t="s">
        <v>127</v>
      </c>
      <c r="L114" s="86"/>
    </row>
    <row r="115" spans="1:12" ht="17" thickBot="1" x14ac:dyDescent="0.25">
      <c r="A115" s="53"/>
      <c r="B115" s="51"/>
      <c r="C115" s="52"/>
      <c r="D115" s="52"/>
      <c r="E115" s="52"/>
      <c r="F115" s="52"/>
      <c r="G115" s="50"/>
      <c r="H115" s="52"/>
      <c r="I115" s="50"/>
      <c r="J115" s="30"/>
      <c r="K115" s="89"/>
      <c r="L115" s="90"/>
    </row>
    <row r="116" spans="1:12" x14ac:dyDescent="0.2">
      <c r="J116" s="69" t="s">
        <v>76</v>
      </c>
      <c r="K116" s="70"/>
      <c r="L116" s="91" t="s">
        <v>127</v>
      </c>
    </row>
    <row r="117" spans="1:12" x14ac:dyDescent="0.2">
      <c r="J117" s="71"/>
      <c r="K117" s="50"/>
      <c r="L117" s="92"/>
    </row>
    <row r="118" spans="1:12" x14ac:dyDescent="0.2">
      <c r="J118" s="72" t="s">
        <v>77</v>
      </c>
      <c r="K118" s="27"/>
      <c r="L118" s="93"/>
    </row>
    <row r="119" spans="1:12" ht="17" thickBot="1" x14ac:dyDescent="0.25">
      <c r="J119" s="73"/>
      <c r="K119" s="74"/>
      <c r="L119" s="94"/>
    </row>
    <row r="121" spans="1:12" x14ac:dyDescent="0.2">
      <c r="A121" s="56" t="s">
        <v>78</v>
      </c>
      <c r="B121" s="57"/>
      <c r="C121" s="58"/>
      <c r="D121" s="58"/>
      <c r="E121" s="58"/>
      <c r="F121" s="58"/>
      <c r="G121" s="58"/>
      <c r="H121" s="58"/>
      <c r="I121" s="58"/>
      <c r="J121" s="58"/>
      <c r="K121" s="58"/>
      <c r="L121" s="59"/>
    </row>
    <row r="122" spans="1:12" x14ac:dyDescent="0.2">
      <c r="A122" s="25" t="s">
        <v>79</v>
      </c>
      <c r="B122" s="75"/>
      <c r="C122" s="76"/>
      <c r="D122" s="76"/>
      <c r="E122" s="76"/>
      <c r="F122" s="76"/>
      <c r="G122" s="76"/>
      <c r="H122" s="76"/>
      <c r="I122" s="76"/>
      <c r="J122" s="76"/>
      <c r="K122" s="76"/>
      <c r="L122" s="27"/>
    </row>
    <row r="123" spans="1:12" x14ac:dyDescent="0.2">
      <c r="A123" s="28" t="s">
        <v>80</v>
      </c>
      <c r="B123" s="77"/>
      <c r="L123" s="30"/>
    </row>
    <row r="124" spans="1:12" x14ac:dyDescent="0.2">
      <c r="A124" s="28" t="s">
        <v>81</v>
      </c>
      <c r="B124" s="47"/>
      <c r="L124" s="30"/>
    </row>
    <row r="125" spans="1:12" x14ac:dyDescent="0.2">
      <c r="A125" s="28" t="s">
        <v>82</v>
      </c>
      <c r="B125" s="47"/>
      <c r="L125" s="30"/>
    </row>
    <row r="126" spans="1:12" x14ac:dyDescent="0.2">
      <c r="A126" s="28" t="s">
        <v>83</v>
      </c>
      <c r="B126" s="47"/>
      <c r="L126" s="30"/>
    </row>
    <row r="127" spans="1:12" x14ac:dyDescent="0.2">
      <c r="A127" s="28" t="s">
        <v>84</v>
      </c>
      <c r="B127" s="47"/>
      <c r="L127" s="30"/>
    </row>
    <row r="128" spans="1:12" x14ac:dyDescent="0.2">
      <c r="A128" s="53" t="s">
        <v>85</v>
      </c>
      <c r="B128" s="78"/>
      <c r="C128" s="52"/>
      <c r="D128" s="52"/>
      <c r="E128" s="52"/>
      <c r="F128" s="52"/>
      <c r="G128" s="52"/>
      <c r="H128" s="52"/>
      <c r="I128" s="52"/>
      <c r="J128" s="52"/>
      <c r="K128" s="52"/>
      <c r="L128" s="50"/>
    </row>
    <row r="132" spans="1:6" x14ac:dyDescent="0.2">
      <c r="A132" s="30" t="s">
        <v>86</v>
      </c>
      <c r="B132" s="79" t="s">
        <v>87</v>
      </c>
    </row>
    <row r="133" spans="1:6" x14ac:dyDescent="0.2">
      <c r="B133" s="80" t="s">
        <v>88</v>
      </c>
      <c r="D133" s="81"/>
    </row>
    <row r="134" spans="1:6" x14ac:dyDescent="0.2">
      <c r="B134" s="82" t="s">
        <v>89</v>
      </c>
      <c r="C134" s="83"/>
      <c r="D134" s="83"/>
      <c r="E134" s="83"/>
      <c r="F134" s="84"/>
    </row>
    <row r="135" spans="1:6" x14ac:dyDescent="0.2">
      <c r="B135" s="80" t="s">
        <v>90</v>
      </c>
    </row>
    <row r="136" spans="1:6" x14ac:dyDescent="0.2">
      <c r="B136" s="80" t="s">
        <v>91</v>
      </c>
      <c r="E136" t="s">
        <v>92</v>
      </c>
    </row>
    <row r="137" spans="1:6" x14ac:dyDescent="0.2">
      <c r="B137" s="82" t="s">
        <v>93</v>
      </c>
      <c r="C137" s="83"/>
      <c r="D137" s="83"/>
      <c r="E137" s="83" t="s">
        <v>94</v>
      </c>
      <c r="F137" s="84"/>
    </row>
    <row r="138" spans="1:6" x14ac:dyDescent="0.2">
      <c r="B138" s="80" t="s">
        <v>95</v>
      </c>
      <c r="E138" t="s">
        <v>92</v>
      </c>
    </row>
    <row r="139" spans="1:6" x14ac:dyDescent="0.2">
      <c r="B139" s="80" t="s">
        <v>96</v>
      </c>
    </row>
    <row r="140" spans="1:6" x14ac:dyDescent="0.2">
      <c r="B140" s="80" t="s">
        <v>97</v>
      </c>
    </row>
    <row r="141" spans="1:6" x14ac:dyDescent="0.2">
      <c r="B141" s="80" t="s">
        <v>98</v>
      </c>
      <c r="E141" t="s">
        <v>92</v>
      </c>
    </row>
    <row r="142" spans="1:6" x14ac:dyDescent="0.2">
      <c r="B142" s="80" t="s">
        <v>99</v>
      </c>
    </row>
    <row r="143" spans="1:6" x14ac:dyDescent="0.2">
      <c r="B143" s="80" t="s">
        <v>100</v>
      </c>
    </row>
    <row r="144" spans="1:6" x14ac:dyDescent="0.2">
      <c r="B144" s="80" t="s">
        <v>101</v>
      </c>
      <c r="E144" t="s">
        <v>92</v>
      </c>
    </row>
    <row r="145" spans="2:6" x14ac:dyDescent="0.2">
      <c r="B145" s="80" t="s">
        <v>102</v>
      </c>
      <c r="E145" t="s">
        <v>92</v>
      </c>
    </row>
    <row r="146" spans="2:6" x14ac:dyDescent="0.2">
      <c r="B146" s="80" t="s">
        <v>103</v>
      </c>
      <c r="E146" t="s">
        <v>92</v>
      </c>
    </row>
    <row r="147" spans="2:6" x14ac:dyDescent="0.2">
      <c r="B147" s="80" t="s">
        <v>104</v>
      </c>
      <c r="E147" t="s">
        <v>92</v>
      </c>
    </row>
    <row r="148" spans="2:6" x14ac:dyDescent="0.2">
      <c r="B148" s="80" t="s">
        <v>105</v>
      </c>
    </row>
    <row r="149" spans="2:6" x14ac:dyDescent="0.2">
      <c r="B149" s="80" t="s">
        <v>106</v>
      </c>
      <c r="E149" t="s">
        <v>92</v>
      </c>
    </row>
    <row r="150" spans="2:6" x14ac:dyDescent="0.2">
      <c r="B150" s="80" t="s">
        <v>107</v>
      </c>
      <c r="E150" t="s">
        <v>92</v>
      </c>
    </row>
    <row r="151" spans="2:6" x14ac:dyDescent="0.2">
      <c r="B151" s="80" t="s">
        <v>108</v>
      </c>
      <c r="E151" t="s">
        <v>92</v>
      </c>
    </row>
    <row r="152" spans="2:6" x14ac:dyDescent="0.2">
      <c r="B152" s="82" t="s">
        <v>109</v>
      </c>
      <c r="C152" s="83"/>
      <c r="D152" s="83"/>
      <c r="E152" s="83"/>
      <c r="F152" s="84"/>
    </row>
    <row r="153" spans="2:6" x14ac:dyDescent="0.2">
      <c r="B153" s="6" t="s">
        <v>110</v>
      </c>
      <c r="E153" t="s">
        <v>111</v>
      </c>
    </row>
    <row r="155" spans="2:6" x14ac:dyDescent="0.2">
      <c r="B155" s="79" t="s">
        <v>112</v>
      </c>
    </row>
  </sheetData>
  <mergeCells count="70">
    <mergeCell ref="L18:L19"/>
    <mergeCell ref="B16:G16"/>
    <mergeCell ref="H16:I16"/>
    <mergeCell ref="C18:F18"/>
    <mergeCell ref="K18:K19"/>
    <mergeCell ref="K21:K22"/>
    <mergeCell ref="L21:L22"/>
    <mergeCell ref="C24:F24"/>
    <mergeCell ref="K24:K27"/>
    <mergeCell ref="L24:L27"/>
    <mergeCell ref="C25:E25"/>
    <mergeCell ref="C26:E26"/>
    <mergeCell ref="C29:F29"/>
    <mergeCell ref="K29:K31"/>
    <mergeCell ref="L29:L31"/>
    <mergeCell ref="C33:F33"/>
    <mergeCell ref="K33:K35"/>
    <mergeCell ref="L33:L35"/>
    <mergeCell ref="K37:K38"/>
    <mergeCell ref="L37:L38"/>
    <mergeCell ref="C40:F40"/>
    <mergeCell ref="K40:K44"/>
    <mergeCell ref="L40:L44"/>
    <mergeCell ref="C41:F41"/>
    <mergeCell ref="C64:F64"/>
    <mergeCell ref="K64:K66"/>
    <mergeCell ref="L64:L66"/>
    <mergeCell ref="C65:F65"/>
    <mergeCell ref="C46:F46"/>
    <mergeCell ref="K46:K50"/>
    <mergeCell ref="L46:L50"/>
    <mergeCell ref="C47:F47"/>
    <mergeCell ref="C52:F52"/>
    <mergeCell ref="K52:K56"/>
    <mergeCell ref="L52:L56"/>
    <mergeCell ref="C53:F53"/>
    <mergeCell ref="C58:F58"/>
    <mergeCell ref="K58:K62"/>
    <mergeCell ref="L58:L62"/>
    <mergeCell ref="C59:F59"/>
    <mergeCell ref="C60:F60"/>
    <mergeCell ref="K68:K69"/>
    <mergeCell ref="L68:L69"/>
    <mergeCell ref="H71:I71"/>
    <mergeCell ref="C73:F73"/>
    <mergeCell ref="K73:K77"/>
    <mergeCell ref="L73:L77"/>
    <mergeCell ref="C79:F79"/>
    <mergeCell ref="K79:K83"/>
    <mergeCell ref="L79:L83"/>
    <mergeCell ref="C85:F85"/>
    <mergeCell ref="K85:K89"/>
    <mergeCell ref="L85:L89"/>
    <mergeCell ref="K91:K92"/>
    <mergeCell ref="L91:L92"/>
    <mergeCell ref="K94:K95"/>
    <mergeCell ref="L94:L95"/>
    <mergeCell ref="K97:K100"/>
    <mergeCell ref="L97:L100"/>
    <mergeCell ref="K111:L112"/>
    <mergeCell ref="K114:L115"/>
    <mergeCell ref="L116:L117"/>
    <mergeCell ref="L118:L119"/>
    <mergeCell ref="B102:C102"/>
    <mergeCell ref="K102:K103"/>
    <mergeCell ref="L102:L103"/>
    <mergeCell ref="K105:K106"/>
    <mergeCell ref="L105:L106"/>
    <mergeCell ref="K108:K109"/>
    <mergeCell ref="L108:L109"/>
  </mergeCells>
  <conditionalFormatting sqref="B97">
    <cfRule type="expression" dxfId="327" priority="10">
      <formula>$B$61="No studies available: pH ="</formula>
    </cfRule>
  </conditionalFormatting>
  <conditionalFormatting sqref="C61">
    <cfRule type="expression" dxfId="326" priority="29">
      <formula>$B$61="No studies available: pH ="</formula>
    </cfRule>
  </conditionalFormatting>
  <conditionalFormatting sqref="K6">
    <cfRule type="expression" dxfId="325" priority="185">
      <formula>$K$6="Not checked"</formula>
    </cfRule>
    <cfRule type="expression" dxfId="324" priority="184">
      <formula>$K$6="Checked"</formula>
    </cfRule>
    <cfRule type="expression" dxfId="323" priority="183">
      <formula>$K$6="Need QC"</formula>
    </cfRule>
  </conditionalFormatting>
  <conditionalFormatting sqref="K18:K19">
    <cfRule type="expression" dxfId="322" priority="178">
      <formula>OR(C18="TLV A1",C18="TLV A2",C18="TLV A3",C18="Carc. 1A: H350: May cause cancer",C18="Carc. 1B: H350: May cause cancer",C18="Carc. 2: H351: Suspected of causing cancer")</formula>
    </cfRule>
    <cfRule type="expression" dxfId="321" priority="154">
      <formula>$K$18="Manually set to: Grey"</formula>
    </cfRule>
    <cfRule type="expression" dxfId="320" priority="161">
      <formula>$K$18="Manually set to: Red"</formula>
    </cfRule>
    <cfRule type="expression" dxfId="319" priority="162">
      <formula>$K$18="Manually set to: Yellow"</formula>
    </cfRule>
    <cfRule type="expression" dxfId="318" priority="163">
      <formula>$K$18="Manually set to: Green"</formula>
    </cfRule>
    <cfRule type="expression" dxfId="317" priority="182">
      <formula>OR(C18="IARC 3",C18="TLV A4")</formula>
    </cfRule>
    <cfRule type="expression" dxfId="316" priority="181">
      <formula>OR(C18="TLV A5",C18="IARC 4")</formula>
    </cfRule>
    <cfRule type="expression" dxfId="315" priority="180">
      <formula>OR(C18="MAK III 3A",C18="MAK III 4",C18="MAK III 5")</formula>
    </cfRule>
    <cfRule type="expression" dxfId="314" priority="179">
      <formula>OR(C18="MAK III 1",C18="MAK III 2",C18="MAK III 3B",C18="IARC 1",C18="IARC 2A",C18="IARC 2B")</formula>
    </cfRule>
  </conditionalFormatting>
  <conditionalFormatting sqref="K21:K22">
    <cfRule type="expression" dxfId="313" priority="159">
      <formula>$K$21="Manually set to: Yellow"</formula>
    </cfRule>
    <cfRule type="expression" dxfId="312" priority="158">
      <formula>$K$21="Manually set to: Green"</formula>
    </cfRule>
    <cfRule type="expression" dxfId="311" priority="160">
      <formula>$K$21="Manually set to: Red"</formula>
    </cfRule>
    <cfRule type="expression" dxfId="310" priority="153">
      <formula>$K$21="Manually set to: Grey"</formula>
    </cfRule>
  </conditionalFormatting>
  <conditionalFormatting sqref="K24">
    <cfRule type="expression" dxfId="309" priority="32">
      <formula>$K$24="Manually set to: Red"</formula>
    </cfRule>
    <cfRule type="expression" dxfId="308" priority="35">
      <formula>OR($C$24="Muta. 1A: H340: May cause genetic defects",$C$24="Muta. 1B: H340: May cause genetic defects",$C$24="Muta. 2: H341: Suspected of causing genetic defects",$C$24="MAK IX 1",$C$24="MAK IX 2",$C$24="MAK IX 3A",$C$24="MAK IX 3B")</formula>
    </cfRule>
    <cfRule type="expression" dxfId="307" priority="34">
      <formula>$K$24="Manually set to: Green"</formula>
    </cfRule>
    <cfRule type="expression" dxfId="306" priority="33">
      <formula>$K$24="Manually set to: Yellow"</formula>
    </cfRule>
    <cfRule type="expression" dxfId="305" priority="31">
      <formula>$K$24="Manually set to: Grey"</formula>
    </cfRule>
  </conditionalFormatting>
  <conditionalFormatting sqref="K29">
    <cfRule type="expression" dxfId="304" priority="191">
      <formula>OR($C$29="Repr. 1A: H360: May damage fertility or the unborn child",$C$29="Repr. 1B: H360: May damage fertility or the unborn child",$C$29="Repr. 2: H361: Suspected of damaging fertility or the unborn child",$C$29="MAK A",$C$29="MAK B")</formula>
    </cfRule>
    <cfRule type="expression" dxfId="303" priority="190">
      <formula>$C$29="MAK C"</formula>
    </cfRule>
    <cfRule type="expression" dxfId="302" priority="189">
      <formula>AND($B$30="Oral NOAEL =",$C$30&lt;50,$C$30&gt;0)</formula>
    </cfRule>
    <cfRule type="expression" dxfId="301" priority="175">
      <formula>AND($B$30="Inhalation NOAEL =",$C$30&gt;=2.5,ISNUMBER($C$30))</formula>
    </cfRule>
    <cfRule type="expression" dxfId="300" priority="176">
      <formula>AND($B$30="Inhalation NOAEL =",$C$30&gt;=0.25,ISNUMBER($C$30))</formula>
    </cfRule>
    <cfRule type="expression" dxfId="299" priority="188">
      <formula>AND($B$30="Oral NOAEL =",$C$30&gt;=50,ISNUMBER($C$30))</formula>
    </cfRule>
    <cfRule type="expression" dxfId="298" priority="187">
      <formula>AND($B$30="Oral NOAEL =",$C$30&gt;=500,ISNUMBER($C$30))</formula>
    </cfRule>
    <cfRule type="expression" dxfId="297" priority="177">
      <formula>AND($B$30="Inhalation NOAEL =",$C$30&lt;0.25,$C$30&gt;0)</formula>
    </cfRule>
  </conditionalFormatting>
  <conditionalFormatting sqref="K29:K31">
    <cfRule type="expression" dxfId="296" priority="30">
      <formula>$K$29="Manually set to: Grey"</formula>
    </cfRule>
    <cfRule type="expression" dxfId="295" priority="165">
      <formula>$K$29="Manually set to: Yellow"</formula>
    </cfRule>
    <cfRule type="expression" dxfId="294" priority="166">
      <formula>$K$29="Manually set to: Green"</formula>
    </cfRule>
    <cfRule type="expression" dxfId="293" priority="164">
      <formula>$K$29="Manually set to:  Red"</formula>
    </cfRule>
  </conditionalFormatting>
  <conditionalFormatting sqref="K33">
    <cfRule type="expression" dxfId="292" priority="167">
      <formula>AND($B$34="Inhalation NOAEL =",$C$34&gt;=2.5,ISNUMBER($C$34))</formula>
    </cfRule>
    <cfRule type="expression" dxfId="291" priority="168">
      <formula>AND($B$34="Inhalation NOAEL =",$C$34&gt;=0.25,ISNUMBER($C$34))</formula>
    </cfRule>
    <cfRule type="expression" dxfId="290" priority="169">
      <formula>AND($B$34="Inhalation NOAEL =",$C$34&lt;0.25,$C$34&gt;0)</formula>
    </cfRule>
    <cfRule type="expression" dxfId="289" priority="170">
      <formula>AND($B$34="Oral NOAEL =",$C$34&gt;=500,ISNUMBER($C$34))</formula>
    </cfRule>
    <cfRule type="expression" dxfId="288" priority="174">
      <formula>OR($C$33="Repr. 1A: H360: May damage fertility or the unborn child",$C$33="Repr. 1B: H360: May damage fertility or the unborn child",$C$33="Repr. 2: H361: Suspected of damaging fertility or the unborn child",$C$33="MAK A",$C$33="MAK B")</formula>
    </cfRule>
    <cfRule type="expression" dxfId="287" priority="173">
      <formula>$C$33="MAK C"</formula>
    </cfRule>
    <cfRule type="expression" dxfId="286" priority="172">
      <formula>AND($B$34="Oral NOAEL =",$C$34&lt;50,$C$34&gt;0)</formula>
    </cfRule>
    <cfRule type="expression" dxfId="285" priority="171">
      <formula>AND($B$34="Oral NOAEL =",$C$34&gt;=50,ISNUMBER($C$34))</formula>
    </cfRule>
  </conditionalFormatting>
  <conditionalFormatting sqref="K33:K35">
    <cfRule type="expression" dxfId="284" priority="157">
      <formula>$K$33="Manually set to: Green"</formula>
    </cfRule>
    <cfRule type="expression" dxfId="283" priority="155">
      <formula>$K$33="Manually set to: Red"</formula>
    </cfRule>
    <cfRule type="expression" dxfId="282" priority="156">
      <formula>$K$33="Manually set to: Yellow"</formula>
    </cfRule>
    <cfRule type="expression" dxfId="281" priority="152">
      <formula>$K$33="Manually set to: Grey"</formula>
    </cfRule>
  </conditionalFormatting>
  <conditionalFormatting sqref="K37:K38">
    <cfRule type="expression" dxfId="280" priority="67">
      <formula>$K$37="Manually set to: Green"</formula>
    </cfRule>
    <cfRule type="expression" dxfId="279" priority="66">
      <formula>$K$37="Manually set to: Yellow"</formula>
    </cfRule>
    <cfRule type="expression" dxfId="278" priority="65">
      <formula>$K$37="Manually set to: Red"</formula>
    </cfRule>
    <cfRule type="expression" dxfId="277" priority="64">
      <formula>$K$37="Manually set to: Grey"</formula>
    </cfRule>
  </conditionalFormatting>
  <conditionalFormatting sqref="K40:K44">
    <cfRule type="expression" dxfId="276" priority="204">
      <formula>$C$41="STOT RE 2: H373: May cause damage via repeated oral exposure"</formula>
    </cfRule>
    <cfRule type="expression" dxfId="275" priority="203">
      <formula>$C$41="STOT RE 1: H372: Causes damage via repeated oral exposure"</formula>
    </cfRule>
    <cfRule type="expression" dxfId="274" priority="205">
      <formula>$C$40="Acute Tox. 4: H302: Harmful if swallowed"</formula>
    </cfRule>
    <cfRule type="expression" dxfId="273" priority="206">
      <formula>AND($C$42&gt;=2000,$C$43&gt;=100,ISNUMBER($C$42),ISNUMBER($C$43))</formula>
    </cfRule>
    <cfRule type="expression" dxfId="272" priority="207">
      <formula>AND(OR($C$42&gt;=300,$C$43&gt;=10),ISNUMBER($C$42),ISNUMBER($C$43))</formula>
    </cfRule>
    <cfRule type="expression" dxfId="271" priority="202">
      <formula>$C$40="Acute Tox. 1: H300: Fatal if swallowed"</formula>
    </cfRule>
    <cfRule type="expression" dxfId="270" priority="201">
      <formula>$C$40="Acute Tox. 2: H300: Fatal if swallowed"</formula>
    </cfRule>
    <cfRule type="expression" dxfId="269" priority="200">
      <formula>$C$40="Acute Tox. 3: H301: Toxic if swallowed"</formula>
    </cfRule>
    <cfRule type="expression" dxfId="268" priority="199">
      <formula>$C$40="Asp. Tox. 1: H304: May be fatal if swallowed and enters airways"</formula>
    </cfRule>
    <cfRule type="expression" dxfId="267" priority="198">
      <formula>$C$41="STOT SE 1: H370: Causes damage to organs via oral exposure"</formula>
    </cfRule>
    <cfRule type="expression" dxfId="266" priority="192">
      <formula>$K$40="Manually set to: Grey"</formula>
    </cfRule>
    <cfRule type="expression" dxfId="265" priority="193">
      <formula>$K$40="Manually set to: Green"</formula>
    </cfRule>
    <cfRule type="expression" dxfId="264" priority="197">
      <formula>$C$41="STOT RE 1: H372: Causes damage trough repeated oral exposure"</formula>
    </cfRule>
    <cfRule type="expression" dxfId="263" priority="196">
      <formula>OR(AND(ISNUMBER($C$42),$C$42&lt;300),AND(ISNUMBER($C$43),$C$43&lt;10))</formula>
    </cfRule>
    <cfRule type="expression" dxfId="262" priority="195">
      <formula>$K$40="Manually set to: Red"</formula>
    </cfRule>
    <cfRule type="expression" dxfId="261" priority="194">
      <formula>$K$40="Manually set to: Yellow"</formula>
    </cfRule>
  </conditionalFormatting>
  <conditionalFormatting sqref="K46">
    <cfRule type="expression" dxfId="260" priority="252">
      <formula>AND($B$48="Acute: LC50 (vapor) =",AND($C$48&gt;=10,$C$48&lt;20),ISNUMBER($C$48))</formula>
    </cfRule>
    <cfRule type="expression" dxfId="259" priority="249">
      <formula>AND($B$49="Chronic: LOAEL (vapor) =",AND($C$49&gt;=0.2,$C$49&lt;1),ISNUMBER($C$49))</formula>
    </cfRule>
    <cfRule type="expression" dxfId="258" priority="243">
      <formula>AND($B$49="Chronic: LOAEL (gas) =",$C$49&lt;50,ISNUMBER($C$49))</formula>
    </cfRule>
    <cfRule type="expression" dxfId="257" priority="242">
      <formula>AND($B$48="Acute: LC50 (vapor) =",$C$48&lt;10,ISNUMBER($C$48))</formula>
    </cfRule>
    <cfRule type="expression" dxfId="256" priority="241">
      <formula>AND($B$48="Acute: LC50 (dust/mist/aerosol) =",$C$48&lt;1,ISNUMBER($C$48))</formula>
    </cfRule>
    <cfRule type="expression" dxfId="255" priority="240">
      <formula>AND($B$48="Acute: LC50 (gas) =",$C$48&lt;2500,ISNUMBER($C$48))</formula>
    </cfRule>
    <cfRule type="expression" dxfId="254" priority="239">
      <formula>OR($C$47="STOT SE 1: H370: Damages organs via inhal. exp.",$C$47="STOT RE 1: H372: Damages organs via repeated inhal. exp.")</formula>
    </cfRule>
    <cfRule type="expression" dxfId="253" priority="238">
      <formula>OR($C$46="Acute Tox. 1: H330: Fatal if inhaled",$C$46="Acute Tox. 2: H330: Fatal if inhaled",$C$46="Acute Tox. 3: H331: Toxic if inhaled")</formula>
    </cfRule>
    <cfRule type="expression" dxfId="252" priority="237">
      <formula>$K$46="Manually set to: Green"</formula>
    </cfRule>
    <cfRule type="expression" dxfId="251" priority="245">
      <formula>AND($B$49="Chronic: LOAEL (dust/mist/aerosol) =",$C$49&lt;0.02,ISNUMBER($C$49))</formula>
    </cfRule>
    <cfRule type="expression" dxfId="250" priority="235">
      <formula>$K$46="Manually set to: Red"</formula>
    </cfRule>
    <cfRule type="expression" dxfId="249" priority="258">
      <formula>AND($B$48="Acute: LC50 (vapor) =",$C$48&gt;=20,ISNUMBER($C$48))</formula>
    </cfRule>
    <cfRule type="expression" dxfId="248" priority="257">
      <formula>AND($B$48="Acute: LC50 (gas) =",$C$48&gt;=20000,ISNUMBER($C$48))</formula>
    </cfRule>
    <cfRule type="expression" dxfId="247" priority="259">
      <formula>AND($B$48="Acute: LC50 (dust/mist/aerosol) =",$C$48&gt;=5,ISNUMBER($C$48))</formula>
    </cfRule>
    <cfRule type="expression" dxfId="246" priority="256">
      <formula>AND($B$49="Chronic: LOAEL (dust/mist/aerosol) =",$C$49&gt;=0.2,ISNUMBER($C$49))</formula>
    </cfRule>
    <cfRule type="expression" dxfId="245" priority="255">
      <formula>AND($B$49="Chronic: LOAEL (gas) =",$C$49&gt;=250,ISNUMBER($C$49))</formula>
    </cfRule>
    <cfRule type="expression" dxfId="244" priority="254">
      <formula>AND($B$49="Chronic: LOAEL (vapor) =",$C$49&gt;=1,ISNUMBER($C$49))</formula>
    </cfRule>
    <cfRule type="expression" dxfId="243" priority="253">
      <formula>AND($B$48="Acute: LC50 (dust/mist/aerosol) =",AND($C$48&gt;=1,$C$48&lt;5),ISNUMBER($C$48))</formula>
    </cfRule>
    <cfRule type="expression" dxfId="242" priority="234">
      <formula>$K$46="Manually set to: Grey"</formula>
    </cfRule>
    <cfRule type="expression" dxfId="241" priority="246">
      <formula>$C$46="Acute Tox. 4: H332: Harmful if inhaled"</formula>
    </cfRule>
    <cfRule type="expression" dxfId="240" priority="247">
      <formula>OR($C$47="STOT SE 2: H371: May damage organs via inhal. exp.",$C$47="STOT RE 2: H373: May damage organs via repeated inhal. exp.",$C$47="STOT SE 3: H336: May cause drowsiness")</formula>
    </cfRule>
    <cfRule type="expression" dxfId="239" priority="248">
      <formula>AND($B$49="Chronic: LOAEL (gas) =",AND($C$49&gt;=50,$C$49&lt;250),ISNUMBER($C$49))</formula>
    </cfRule>
    <cfRule type="expression" dxfId="238" priority="236">
      <formula>$K$46="Manually set to: Yellow"</formula>
    </cfRule>
    <cfRule type="expression" dxfId="237" priority="251">
      <formula>AND($B$48="Acute: LC50 (gas) =",AND($C$48&gt;=2500,$C$48&lt;20000),ISNUMBER($C$48))</formula>
    </cfRule>
    <cfRule type="expression" dxfId="236" priority="250">
      <formula>AND($B$49="Chronic: LOAEL (dust/mist/aerosol) =",AND($C$49&gt;=0.02,$C$49&lt;0.2),ISNUMBER($C$49))</formula>
    </cfRule>
    <cfRule type="expression" dxfId="235" priority="244">
      <formula>AND($B$49="Chronic: LOAEL (vapor) =",$C$49&lt;0.2,ISNUMBER($C$49))</formula>
    </cfRule>
  </conditionalFormatting>
  <conditionalFormatting sqref="K52:K56">
    <cfRule type="expression" dxfId="234" priority="219">
      <formula>$C$53="STOT SE 2: H371: May cause damage to organs via dermal exposure"</formula>
    </cfRule>
    <cfRule type="expression" dxfId="233" priority="218">
      <formula>$C$52="Acute Tox. 1: H310: Fatal in contact with skin"</formula>
    </cfRule>
    <cfRule type="expression" dxfId="232" priority="217">
      <formula>$C$52="Acute Tox. 2: H310: Fatal in contact with skin"</formula>
    </cfRule>
    <cfRule type="expression" dxfId="231" priority="216">
      <formula>$C$52="Acute Tox. 3: H311: Toxic in contact with skin"</formula>
    </cfRule>
    <cfRule type="expression" dxfId="230" priority="215">
      <formula>$C$53="STOT SE 1: H370: Causes damage to organs via dermal exposure"</formula>
    </cfRule>
    <cfRule type="expression" dxfId="229" priority="214">
      <formula>$C$53="STOT SE 1: H370: Causes damage to organs via oral exposure"</formula>
    </cfRule>
    <cfRule type="expression" dxfId="228" priority="213">
      <formula>$C$53="STOT RE 1: H372: Causes damage via repeated dermal exposure"</formula>
    </cfRule>
    <cfRule type="expression" dxfId="227" priority="212">
      <formula>OR(AND(ISNUMBER($C$54),$C$54&lt;1000),AND(ISNUMBER($C$55),$C$55&lt;20))</formula>
    </cfRule>
    <cfRule type="expression" dxfId="226" priority="211">
      <formula>$K$52="Manually set to: Red"</formula>
    </cfRule>
    <cfRule type="expression" dxfId="225" priority="210">
      <formula>$K$52="Manually set to: Yellow"</formula>
    </cfRule>
    <cfRule type="expression" dxfId="224" priority="209">
      <formula>$K$52="Manually set to: Green"</formula>
    </cfRule>
    <cfRule type="expression" dxfId="223" priority="208">
      <formula>$K$52="Manually set to: Grey"</formula>
    </cfRule>
    <cfRule type="expression" dxfId="222" priority="220">
      <formula>$C$53="STOT RE 2: H373: May cause damage via repeated dermal exposure"</formula>
    </cfRule>
    <cfRule type="expression" dxfId="221" priority="221">
      <formula>$C$52="Acute Tox. 4: H312: Harmful in contact with skin"</formula>
    </cfRule>
    <cfRule type="expression" dxfId="220" priority="222">
      <formula>OR(AND(ISNUMBER($C$54),$C$54&gt;=1000,$C$54&lt;2000),AND(ISNUMBER($C$55),$C$55&gt;=20,$C$55&lt;200))</formula>
    </cfRule>
    <cfRule type="expression" dxfId="219" priority="223">
      <formula>OR(AND(ISNUMBER($C$54),$C$54&gt;=2000),AND(ISNUMBER($C$55),$C$55&gt;=200))</formula>
    </cfRule>
  </conditionalFormatting>
  <conditionalFormatting sqref="K58">
    <cfRule type="expression" dxfId="218" priority="27">
      <formula>$K$58="Manually set to: Yellow"</formula>
    </cfRule>
    <cfRule type="expression" dxfId="217" priority="307">
      <formula>$C$58="Skin Corr. 1: H314 Causes severe skin burns and eye damage"</formula>
    </cfRule>
    <cfRule type="expression" dxfId="216" priority="308">
      <formula>$C$60="STOT SE 3: H335 May cause respiratory tract irritation"</formula>
    </cfRule>
    <cfRule type="expression" dxfId="215" priority="309">
      <formula>$C$60="Irritating according to testing"</formula>
    </cfRule>
    <cfRule type="expression" dxfId="214" priority="310">
      <formula>$C$59="Eye irritating according to testing"</formula>
    </cfRule>
    <cfRule type="expression" dxfId="213" priority="311">
      <formula>$C$58="Skin irritating according to testing"</formula>
    </cfRule>
    <cfRule type="expression" dxfId="212" priority="312">
      <formula>$C$59="Eye irrit. 2b: H320 Causes eye irritation"</formula>
    </cfRule>
    <cfRule type="expression" dxfId="211" priority="313">
      <formula>$C$59="Eye irrit. 2a: H319 Causes serious eye irritation"</formula>
    </cfRule>
    <cfRule type="expression" dxfId="210" priority="314">
      <formula>$C$58="Skin Irrit. 2: H315 Causes skin irritation"</formula>
    </cfRule>
    <cfRule type="expression" dxfId="209" priority="315">
      <formula>$C$58="Not irritating according to testing"</formula>
    </cfRule>
    <cfRule type="expression" dxfId="208" priority="316">
      <formula>$C$60="Not irritating according to testing"</formula>
    </cfRule>
    <cfRule type="expression" dxfId="207" priority="317">
      <formula>$C$59="Not irritating according to testing"</formula>
    </cfRule>
    <cfRule type="expression" dxfId="206" priority="306">
      <formula>$C$59="Eye Dam. 1: H318 Causes serious eye damage"</formula>
    </cfRule>
    <cfRule type="expression" dxfId="205" priority="305">
      <formula>$C$60="Corrosive according to testing"</formula>
    </cfRule>
    <cfRule type="expression" dxfId="204" priority="304">
      <formula>$C$58="Skin corrosive according to testing"</formula>
    </cfRule>
    <cfRule type="expression" dxfId="203" priority="303">
      <formula>$C$59="Eye damaging according to testing"</formula>
    </cfRule>
    <cfRule type="expression" dxfId="202" priority="25">
      <formula>$K$58="Manually set to: Grey"</formula>
    </cfRule>
    <cfRule type="expression" dxfId="201" priority="26">
      <formula>$K$58="Manually set to: Green"</formula>
    </cfRule>
    <cfRule type="expression" dxfId="200" priority="28">
      <formula>$K$58="Manually set to: Red"</formula>
    </cfRule>
  </conditionalFormatting>
  <conditionalFormatting sqref="K58:K62">
    <cfRule type="expression" dxfId="199" priority="302">
      <formula>AND(ISNUMBER($C$61),$B$61="No studies available: pH =",OR($C$61&lt;=2,$C$61&gt;=11.5))</formula>
    </cfRule>
  </conditionalFormatting>
  <conditionalFormatting sqref="K64:K66">
    <cfRule type="expression" dxfId="198" priority="233">
      <formula>$C$65="Not sensitzing according to testing"</formula>
    </cfRule>
    <cfRule type="expression" dxfId="197" priority="229">
      <formula>$C$65="Sensitizing according to testing"</formula>
    </cfRule>
    <cfRule type="expression" dxfId="196" priority="232">
      <formula>$C$64="Not sensitzing according to testing"</formula>
    </cfRule>
    <cfRule type="expression" dxfId="195" priority="21">
      <formula>$K$64="Manually set to: Green"</formula>
    </cfRule>
    <cfRule type="expression" dxfId="194" priority="20">
      <formula>$K$64="Manually set to: Grey"</formula>
    </cfRule>
    <cfRule type="expression" dxfId="193" priority="231">
      <formula>$C$64="Skin Sens. 1: H317 May cause an allergic skin reaction"</formula>
    </cfRule>
    <cfRule type="expression" dxfId="192" priority="230">
      <formula>$C$65="Resp. Sens. 1: H334 May cause allergy or asthma symptoms or breathing difficulties if inhaled"</formula>
    </cfRule>
    <cfRule type="expression" dxfId="191" priority="224">
      <formula>$K$64="Manually set to: Yellow"</formula>
    </cfRule>
    <cfRule type="expression" dxfId="190" priority="225">
      <formula>$K$64="Manually set to: Red"</formula>
    </cfRule>
    <cfRule type="expression" dxfId="189" priority="226">
      <formula>$C$64="Sensitizing according to testing"</formula>
    </cfRule>
    <cfRule type="expression" dxfId="188" priority="227">
      <formula>$C$64="MAK Sh"</formula>
    </cfRule>
    <cfRule type="expression" dxfId="187" priority="228">
      <formula>$C$65="MAK Sa"</formula>
    </cfRule>
  </conditionalFormatting>
  <conditionalFormatting sqref="K68:K69">
    <cfRule type="expression" dxfId="186" priority="60">
      <formula>$K$68="Manually set to: Grey"</formula>
    </cfRule>
    <cfRule type="expression" dxfId="185" priority="61">
      <formula>$K$68="Manually set to: Green"</formula>
    </cfRule>
    <cfRule type="expression" dxfId="184" priority="62">
      <formula>$K$68="Manually set to: Yellow"</formula>
    </cfRule>
    <cfRule type="expression" dxfId="183" priority="63">
      <formula>$K$68="Manually set to: Red"</formula>
    </cfRule>
  </conditionalFormatting>
  <conditionalFormatting sqref="K73">
    <cfRule type="expression" dxfId="182" priority="269">
      <formula>AND($C$75&gt;=10,ISNUMBER($C$75))</formula>
    </cfRule>
    <cfRule type="expression" dxfId="181" priority="3">
      <formula>$K$73="Manually set to: Grey"</formula>
    </cfRule>
    <cfRule type="expression" dxfId="180" priority="9">
      <formula>$K$73="Manually set to: Green"</formula>
    </cfRule>
    <cfRule type="expression" dxfId="179" priority="263">
      <formula>AND($C$74&lt;10,ISNUMBER($C$74))</formula>
    </cfRule>
    <cfRule type="expression" dxfId="178" priority="264">
      <formula>AND($C$75&lt;1,ISNUMBER($C$75))</formula>
    </cfRule>
    <cfRule type="expression" dxfId="177" priority="262">
      <formula>OR($C$73="Aqua. Acute 1: H400",$C$73="Aqua. Chronic 1: H410",$C$73="Aqua. Chronic 2: H411",$C$73="Aqua. Chronic 3: H412",$C$73="Aqua. Chronic 4: H413")</formula>
    </cfRule>
    <cfRule type="expression" dxfId="176" priority="261">
      <formula>AND($C$76&lt;=0.001,ISNUMBER($C$76))</formula>
    </cfRule>
    <cfRule type="expression" dxfId="175" priority="265">
      <formula>AND($C$74&gt;=100,ISNUMBER($C$74),$C$75&gt;=10,ISNUMBER($C$75))</formula>
    </cfRule>
    <cfRule type="expression" dxfId="174" priority="266">
      <formula>OR($C$73="Aqua. Acute 2: H401",$C$73="Aqua. Acute 3: H402")</formula>
    </cfRule>
    <cfRule type="expression" dxfId="173" priority="267">
      <formula>AND($C$75&gt;=1,ISNUMBER($C$75),$C$74&gt;=10,ISNUMBER($C$74))</formula>
    </cfRule>
    <cfRule type="expression" dxfId="172" priority="24">
      <formula>$K$73="Manually set to: Yellow"</formula>
    </cfRule>
    <cfRule type="expression" dxfId="171" priority="268">
      <formula>AND($C$74&gt;=100,ISNUMBER($C$74))</formula>
    </cfRule>
    <cfRule type="expression" dxfId="170" priority="260">
      <formula>$K$73="Manually set to: Red"</formula>
    </cfRule>
  </conditionalFormatting>
  <conditionalFormatting sqref="K79">
    <cfRule type="expression" dxfId="169" priority="2">
      <formula>$K$79="Manually set to: Grey"</formula>
    </cfRule>
    <cfRule type="expression" dxfId="168" priority="8">
      <formula>$K$79="Manually set to: Green"</formula>
    </cfRule>
    <cfRule type="expression" dxfId="167" priority="270">
      <formula>$K$79="Manually set to: Red"</formula>
    </cfRule>
    <cfRule type="expression" dxfId="166" priority="271">
      <formula>AND($C$82&lt;=0.001,ISNUMBER($C$82))</formula>
    </cfRule>
    <cfRule type="expression" dxfId="165" priority="272">
      <formula>OR($C$79="Aqua. Acute 1: H400",$C$79="Aqua. Chronic 1: H410",$C$79="Aqua. Chronic 2: H411",$C$79="Aqua. Chronic 3: H412",$C$79="Aqua. Chronic 4: H413")</formula>
    </cfRule>
    <cfRule type="expression" dxfId="164" priority="273">
      <formula>AND($C$80&lt;10,ISNUMBER($C$80))</formula>
    </cfRule>
    <cfRule type="expression" dxfId="163" priority="274">
      <formula>AND($C$81&lt;1,ISNUMBER($C$81))</formula>
    </cfRule>
    <cfRule type="expression" dxfId="162" priority="23">
      <formula>$K$79="Manually set to: Yellow"</formula>
    </cfRule>
    <cfRule type="expression" dxfId="161" priority="275">
      <formula>AND($C$81&gt;=10,ISNUMBER($C$81),$C$80&gt;=100,ISNUMBER($C$80))</formula>
    </cfRule>
    <cfRule type="expression" dxfId="160" priority="276">
      <formula>AND($C$80&gt;=10,ISNUMBER($C$80),$C$81&gt;=1,ISNUMBER($C$81))</formula>
    </cfRule>
    <cfRule type="expression" dxfId="159" priority="277">
      <formula>OR($C$79="Aqua. Acute 2: H401",$C$79="Aqua. Acute 3: H402")</formula>
    </cfRule>
    <cfRule type="expression" dxfId="158" priority="278">
      <formula>AND($C$80&gt;=100,ISNUMBER($C$80))</formula>
    </cfRule>
    <cfRule type="expression" dxfId="157" priority="279">
      <formula>AND($C$81&gt;=10,ISNUMBER($C$81))</formula>
    </cfRule>
  </conditionalFormatting>
  <conditionalFormatting sqref="K85">
    <cfRule type="expression" dxfId="156" priority="290">
      <formula>AND($C$87&gt;=10,ISNUMBER($C$87))</formula>
    </cfRule>
    <cfRule type="expression" dxfId="155" priority="281">
      <formula>$K$85="Manually set to: Red"</formula>
    </cfRule>
    <cfRule type="expression" dxfId="154" priority="282">
      <formula>AND($C$88&lt;=0.001,ISNUMBER($C$88))</formula>
    </cfRule>
    <cfRule type="expression" dxfId="153" priority="283">
      <formula>OR($C$85="Aqua. Acute 1: H400",$C$85="Aqua. Chronic 1: H410",$C$85="Aqua. Chronic 2: H411",$C$85="Aqua. Chronic 3: H412",$C$85="Aqua. Chronic 4: H413")</formula>
    </cfRule>
    <cfRule type="expression" dxfId="152" priority="280">
      <formula>$K$85="Manually set to: Yellow"</formula>
    </cfRule>
    <cfRule type="expression" dxfId="151" priority="284">
      <formula>AND($C$86&lt;10,ISNUMBER($C$86))</formula>
    </cfRule>
    <cfRule type="expression" dxfId="150" priority="22">
      <formula>$K$85="Manually set to: Green"</formula>
    </cfRule>
    <cfRule type="expression" dxfId="149" priority="1">
      <formula>$K$85="Manually set to: Grey"</formula>
    </cfRule>
    <cfRule type="expression" dxfId="148" priority="285">
      <formula>AND($C$87&lt;1,ISNUMBER($C$87))</formula>
    </cfRule>
    <cfRule type="expression" dxfId="147" priority="286">
      <formula>AND($C$86&gt;=100,ISNUMBER($C$86),$C$87&gt;=10,ISNUMBER($C$87))</formula>
    </cfRule>
    <cfRule type="expression" dxfId="146" priority="287">
      <formula>OR($C$85="Aqua. Acute 2: H401",$C$85="Aqua. Acute 3: H402")</formula>
    </cfRule>
    <cfRule type="expression" dxfId="145" priority="288">
      <formula>AND($C$86&gt;=10,ISNUMBER($C$86),$C$87&gt;=1,ISNUMBER($C$87))</formula>
    </cfRule>
    <cfRule type="expression" dxfId="144" priority="289">
      <formula>AND($C$86&gt;=100,ISNUMBER($C$86))</formula>
    </cfRule>
  </conditionalFormatting>
  <conditionalFormatting sqref="K91:K92">
    <cfRule type="expression" dxfId="143" priority="59">
      <formula>$K$91="Manually set to: Red"</formula>
    </cfRule>
    <cfRule type="expression" dxfId="142" priority="58">
      <formula>$K$91="Manually set to: Yellow"</formula>
    </cfRule>
    <cfRule type="expression" dxfId="141" priority="57">
      <formula>$K$91="Manually set to: Green"</formula>
    </cfRule>
    <cfRule type="expression" dxfId="140" priority="56">
      <formula>$K$91="Manually set to: Grey"</formula>
    </cfRule>
  </conditionalFormatting>
  <conditionalFormatting sqref="K94:K95">
    <cfRule type="expression" dxfId="139" priority="55">
      <formula>$K$94="Manually set to: Red"</formula>
    </cfRule>
    <cfRule type="expression" dxfId="138" priority="54">
      <formula>$K$94="Manually set to: Yellow"</formula>
    </cfRule>
    <cfRule type="expression" dxfId="137" priority="53">
      <formula>$K$94="Manually set to: Green"</formula>
    </cfRule>
    <cfRule type="expression" dxfId="136" priority="52">
      <formula>$K$94="Manually set to: Grey"</formula>
    </cfRule>
  </conditionalFormatting>
  <conditionalFormatting sqref="K97">
    <cfRule type="expression" dxfId="135" priority="295">
      <formula>AND($B$97="BCF/BAF (QSAR):",$C$97&gt;5000,$C$98&lt;6,ISNUMBER($C$97),ISNUMBER($C$98))</formula>
    </cfRule>
    <cfRule type="expression" dxfId="134" priority="294">
      <formula>AND($B$97="BCF/BAF (experimental):",$C$97&gt;5000,ISNUMBER($C$97))</formula>
    </cfRule>
    <cfRule type="expression" dxfId="133" priority="293">
      <formula>AND($C$98&lt;2,ISNUMBER($C$98))</formula>
    </cfRule>
    <cfRule type="expression" dxfId="132" priority="292">
      <formula>AND($C$99&gt;=1000,ISNUMBER($C$99))</formula>
    </cfRule>
    <cfRule type="expression" dxfId="131" priority="291">
      <formula>$K$97="Manually set to: Red"</formula>
    </cfRule>
    <cfRule type="expression" dxfId="130" priority="296">
      <formula>AND($B$97="BCF/BAF (QSAR):",$C$97&gt;2000,$C$97&lt;=5000,$C$98&lt;6,ISNUMBER($C$97),ISNUMBER($C$98))</formula>
    </cfRule>
    <cfRule type="expression" dxfId="129" priority="297">
      <formula>AND($B$97="BCF/BAF (experimental):",$C$97&gt;2000,ISNUMBER($C$97))</formula>
    </cfRule>
    <cfRule type="expression" dxfId="128" priority="298">
      <formula>AND($B$97="BCF/BAF (experimental):",$C$97&gt;500,ISNUMBER($C$97))</formula>
    </cfRule>
    <cfRule type="expression" dxfId="127" priority="299">
      <formula>AND($B$97="BCF/BAF (QSAR):",$C$97&gt;500,$C$98&lt;6,ISNUMBER($C$97),ISNUMBER($C$98))</formula>
    </cfRule>
    <cfRule type="expression" dxfId="126" priority="300">
      <formula>AND($B$97="BCF/BAF (QSAR):",$C$97&lt;=500,$C$98&lt;6,ISNUMBER($C$97),ISNUMBER($C$98))</formula>
    </cfRule>
    <cfRule type="expression" dxfId="125" priority="301">
      <formula>AND($B$97="BCF/BAF (experimental):",$C$97&lt;=500,ISNUMBER($C$97))</formula>
    </cfRule>
    <cfRule type="expression" dxfId="124" priority="7">
      <formula>$K$97="Manually set to: Yellow"</formula>
    </cfRule>
    <cfRule type="expression" dxfId="123" priority="6">
      <formula>$K$97="Manually set to: Green"</formula>
    </cfRule>
    <cfRule type="expression" dxfId="122" priority="5">
      <formula>$K$97="Manually set to: Grey"</formula>
    </cfRule>
    <cfRule type="expression" dxfId="121" priority="4">
      <formula>$K$97="Manually set to: Purple"</formula>
    </cfRule>
  </conditionalFormatting>
  <conditionalFormatting sqref="K102:K103">
    <cfRule type="expression" dxfId="120" priority="327">
      <formula>AND($B$102="% ThOD biodegradation after 28 days:",$D$102&gt;=60,ISNUMBER($D$102))</formula>
    </cfRule>
    <cfRule type="expression" dxfId="119" priority="325">
      <formula>AND($B$102="% ThOD biodegradation after 28 days:",$D$102&lt;60,$D$102&gt;=20,ISNUMBER($D$102))</formula>
    </cfRule>
    <cfRule type="expression" dxfId="118" priority="326">
      <formula>AND($B$102="% DOC biodegradation after 28 days:",$D$102&lt;70,$D$102&gt;=20,ISNUMBER($D$102))</formula>
    </cfRule>
    <cfRule type="expression" dxfId="117" priority="324">
      <formula>$B$102="Substance is inherently biodegradable"</formula>
    </cfRule>
    <cfRule type="expression" dxfId="116" priority="19">
      <formula>$K$102="Manually set to: Purple"</formula>
    </cfRule>
    <cfRule type="expression" dxfId="115" priority="318">
      <formula>$K$102="Manually set to: Grey"</formula>
    </cfRule>
    <cfRule type="expression" dxfId="114" priority="319">
      <formula>$K$102="Manually set to: Green"</formula>
    </cfRule>
    <cfRule type="expression" dxfId="113" priority="320">
      <formula>$K$102="Manually set to: Yellow"</formula>
    </cfRule>
    <cfRule type="expression" dxfId="112" priority="321">
      <formula>$K$102="Manually set to: Red"</formula>
    </cfRule>
    <cfRule type="expression" dxfId="111" priority="322" stopIfTrue="1">
      <formula>AND($B$102="% DOC biodegradation after 28 days:",$D$102&lt;20,ISNUMBER($D$102))</formula>
    </cfRule>
    <cfRule type="expression" dxfId="110" priority="323">
      <formula>AND($B$102="% ThOD biodegradation after 28 days:",$D$102&lt;20,ISNUMBER($D$102))</formula>
    </cfRule>
    <cfRule type="expression" dxfId="109" priority="328">
      <formula>AND($B$102="% DOC biodegradation after 28 days:",$D$102&gt;=70,ISNUMBER($D$102))</formula>
    </cfRule>
  </conditionalFormatting>
  <conditionalFormatting sqref="K105:K106">
    <cfRule type="expression" dxfId="108" priority="48">
      <formula>$K$105="Manually set to: Grey"</formula>
    </cfRule>
    <cfRule type="expression" dxfId="107" priority="49">
      <formula>$K$105="Manually set to: Green"</formula>
    </cfRule>
    <cfRule type="expression" dxfId="106" priority="50">
      <formula>$K$105="Manually set to: Yellow"</formula>
    </cfRule>
    <cfRule type="expression" dxfId="105" priority="51">
      <formula>$K$105="Manually set to: Red"</formula>
    </cfRule>
  </conditionalFormatting>
  <conditionalFormatting sqref="K108:K109">
    <cfRule type="expression" dxfId="104" priority="44">
      <formula>$K$108="Manually set to: Grey"</formula>
    </cfRule>
    <cfRule type="expression" dxfId="103" priority="45">
      <formula>$K$108="Manually set to: Green"</formula>
    </cfRule>
    <cfRule type="expression" dxfId="102" priority="47">
      <formula>$K$108="Manually set to: Red"</formula>
    </cfRule>
    <cfRule type="expression" dxfId="101" priority="46">
      <formula>$K$108="Manually set to: Yellow"</formula>
    </cfRule>
  </conditionalFormatting>
  <conditionalFormatting sqref="K111">
    <cfRule type="expression" dxfId="100" priority="43">
      <formula>$K$111="Manually set to: Green"</formula>
    </cfRule>
    <cfRule type="expression" dxfId="99" priority="42">
      <formula>$K$111="Manually set to: Yellow"</formula>
    </cfRule>
    <cfRule type="expression" dxfId="98" priority="41">
      <formula>$K$111="Manually set to: Red"</formula>
    </cfRule>
    <cfRule type="expression" dxfId="97" priority="40">
      <formula>$K$111="Manually set to: Grey"</formula>
    </cfRule>
  </conditionalFormatting>
  <conditionalFormatting sqref="K114">
    <cfRule type="expression" dxfId="96" priority="39">
      <formula>$K$114="Manually set to: Green"</formula>
    </cfRule>
    <cfRule type="expression" dxfId="95" priority="38">
      <formula>$K$114="Manually set to: Yellow"</formula>
    </cfRule>
    <cfRule type="expression" dxfId="94" priority="37">
      <formula>$K$114="Manually set to: Red"</formula>
    </cfRule>
    <cfRule type="expression" dxfId="93" priority="36">
      <formula>$K$114="Manually set to: Grey"</formula>
    </cfRule>
  </conditionalFormatting>
  <conditionalFormatting sqref="L18:L19">
    <cfRule type="expression" dxfId="92" priority="151">
      <formula>$L$18="Manually set to: Green"</formula>
    </cfRule>
    <cfRule type="expression" dxfId="91" priority="148">
      <formula>$L$18="Manually set to: Grey"</formula>
    </cfRule>
    <cfRule type="expression" dxfId="90" priority="150">
      <formula>$L$18="Manually set to: Yellow"</formula>
    </cfRule>
    <cfRule type="expression" dxfId="89" priority="149">
      <formula>$L$18="Manually set to: Red"</formula>
    </cfRule>
  </conditionalFormatting>
  <conditionalFormatting sqref="L21:L22">
    <cfRule type="expression" dxfId="88" priority="147">
      <formula>$L$21="Manually set to: Green"</formula>
    </cfRule>
    <cfRule type="expression" dxfId="87" priority="146">
      <formula>$L$21="Manually set to: Yellow"</formula>
    </cfRule>
    <cfRule type="expression" dxfId="86" priority="145">
      <formula>$L$21="Manually set to: Red"</formula>
    </cfRule>
    <cfRule type="expression" dxfId="85" priority="144">
      <formula>$L$21="Manually set to: Grey"</formula>
    </cfRule>
  </conditionalFormatting>
  <conditionalFormatting sqref="L24">
    <cfRule type="expression" dxfId="84" priority="140">
      <formula>$L$24="Manually set to: Grey"</formula>
    </cfRule>
    <cfRule type="expression" dxfId="83" priority="143">
      <formula>$L$24="Manually set to: Green"</formula>
    </cfRule>
    <cfRule type="expression" dxfId="82" priority="142">
      <formula>$L$24="Manually set to: Yellow"</formula>
    </cfRule>
    <cfRule type="expression" dxfId="81" priority="141">
      <formula>$L$24="Manually set to: Red"</formula>
    </cfRule>
  </conditionalFormatting>
  <conditionalFormatting sqref="L29">
    <cfRule type="expression" dxfId="80" priority="137">
      <formula>$L$29="Manually set to: Red"</formula>
    </cfRule>
    <cfRule type="expression" dxfId="79" priority="136">
      <formula>$L$29="Manually set to: Grey"</formula>
    </cfRule>
    <cfRule type="expression" dxfId="78" priority="138">
      <formula>$L$29="Manually set to: Yellow"</formula>
    </cfRule>
    <cfRule type="expression" dxfId="77" priority="139">
      <formula>$L$29="Manually set to: Green"</formula>
    </cfRule>
  </conditionalFormatting>
  <conditionalFormatting sqref="L33">
    <cfRule type="expression" dxfId="76" priority="135">
      <formula>$L$33="Manually set to: Green"</formula>
    </cfRule>
    <cfRule type="expression" dxfId="75" priority="134">
      <formula>$L$33="Manually set to: Yellow"</formula>
    </cfRule>
    <cfRule type="expression" dxfId="74" priority="133">
      <formula>$L$33="Manually set to: Red"</formula>
    </cfRule>
    <cfRule type="expression" dxfId="73" priority="132">
      <formula>$L$33="Manually set to: Grey"</formula>
    </cfRule>
  </conditionalFormatting>
  <conditionalFormatting sqref="L37:L38">
    <cfRule type="expression" dxfId="72" priority="131">
      <formula>$L$37="Manually set to: Green"</formula>
    </cfRule>
    <cfRule type="expression" dxfId="71" priority="130">
      <formula>$L$37="Manually set to: Yellow"</formula>
    </cfRule>
    <cfRule type="expression" dxfId="70" priority="129">
      <formula>$L$37="Manually set to: Red"</formula>
    </cfRule>
    <cfRule type="expression" dxfId="69" priority="128">
      <formula>$L$37="Manually set to: Grey"</formula>
    </cfRule>
  </conditionalFormatting>
  <conditionalFormatting sqref="L40">
    <cfRule type="expression" dxfId="68" priority="127">
      <formula>$L$40="Manually set to: Green"</formula>
    </cfRule>
    <cfRule type="expression" dxfId="67" priority="126">
      <formula>$L$40="Manually set to: Yellow"</formula>
    </cfRule>
    <cfRule type="expression" dxfId="66" priority="125">
      <formula>$L$40="Manually set to: Red"</formula>
    </cfRule>
    <cfRule type="expression" dxfId="65" priority="124">
      <formula>$L$40="Manually set to: Grey"</formula>
    </cfRule>
  </conditionalFormatting>
  <conditionalFormatting sqref="L46">
    <cfRule type="expression" dxfId="64" priority="123">
      <formula>$L$46="Manually set to: Green"</formula>
    </cfRule>
    <cfRule type="expression" dxfId="63" priority="122">
      <formula>$L$46="Manually set to: Yellow"</formula>
    </cfRule>
    <cfRule type="expression" dxfId="62" priority="121">
      <formula>$L$46="Manually set to: Red"</formula>
    </cfRule>
    <cfRule type="expression" dxfId="61" priority="120">
      <formula>$L$46="Manually set to: Grey"</formula>
    </cfRule>
  </conditionalFormatting>
  <conditionalFormatting sqref="L52">
    <cfRule type="expression" dxfId="60" priority="119">
      <formula>$L$52="Manually set to: Green"</formula>
    </cfRule>
    <cfRule type="expression" dxfId="59" priority="118">
      <formula>$L$52="Manually set to: Yellow"</formula>
    </cfRule>
    <cfRule type="expression" dxfId="58" priority="117">
      <formula>$L$52="Manually set to: Red"</formula>
    </cfRule>
    <cfRule type="expression" dxfId="57" priority="116">
      <formula>$L$52="Manually set to: Grey"</formula>
    </cfRule>
  </conditionalFormatting>
  <conditionalFormatting sqref="L58">
    <cfRule type="expression" dxfId="56" priority="112">
      <formula>$L$58="Manually set to: Grey"</formula>
    </cfRule>
    <cfRule type="expression" dxfId="55" priority="115">
      <formula>$L$58="Manually set to: Green"</formula>
    </cfRule>
    <cfRule type="expression" dxfId="54" priority="114">
      <formula>$L$58="Manually set to: Yellow"</formula>
    </cfRule>
    <cfRule type="expression" dxfId="53" priority="113">
      <formula>$L$58="Manually set to: Red"</formula>
    </cfRule>
  </conditionalFormatting>
  <conditionalFormatting sqref="L64">
    <cfRule type="expression" dxfId="52" priority="108">
      <formula>$L$64="Manually set to: Grey"</formula>
    </cfRule>
    <cfRule type="expression" dxfId="51" priority="109">
      <formula>$L$64="Manually set to: Red"</formula>
    </cfRule>
    <cfRule type="expression" dxfId="50" priority="110">
      <formula>$L$64="Manually set to: Yellow"</formula>
    </cfRule>
    <cfRule type="expression" dxfId="49" priority="111">
      <formula>$L$64="Manually set to: Green"</formula>
    </cfRule>
  </conditionalFormatting>
  <conditionalFormatting sqref="L68:L70">
    <cfRule type="expression" dxfId="48" priority="104">
      <formula>$L$68="Manually set to: Grey"</formula>
    </cfRule>
    <cfRule type="expression" dxfId="47" priority="107">
      <formula>$L$68="Manually set to: Green"</formula>
    </cfRule>
    <cfRule type="expression" dxfId="46" priority="106">
      <formula>$L$68="Manually set to: Yellow"</formula>
    </cfRule>
    <cfRule type="expression" dxfId="45" priority="105">
      <formula>$L$68="Manually set to: Red"</formula>
    </cfRule>
  </conditionalFormatting>
  <conditionalFormatting sqref="L73">
    <cfRule type="expression" dxfId="44" priority="103">
      <formula>$L$73="Manually set to: Green"</formula>
    </cfRule>
    <cfRule type="expression" dxfId="43" priority="102">
      <formula>$L$73="Manually set to: Yellow"</formula>
    </cfRule>
    <cfRule type="expression" dxfId="42" priority="101">
      <formula>$L$73="Manually set to: Red"</formula>
    </cfRule>
    <cfRule type="expression" dxfId="41" priority="100">
      <formula>$L$73="Manually set to: Grey"</formula>
    </cfRule>
  </conditionalFormatting>
  <conditionalFormatting sqref="L79">
    <cfRule type="expression" dxfId="40" priority="99">
      <formula>$L$79="Manually set to: Green"</formula>
    </cfRule>
    <cfRule type="expression" dxfId="39" priority="98">
      <formula>$L$79="Manually set to: Yellow"</formula>
    </cfRule>
    <cfRule type="expression" dxfId="38" priority="97">
      <formula>$L$79="Manually set to: Red"</formula>
    </cfRule>
    <cfRule type="expression" dxfId="37" priority="96">
      <formula>$L$79="Manually set to: Grey"</formula>
    </cfRule>
  </conditionalFormatting>
  <conditionalFormatting sqref="L85">
    <cfRule type="expression" dxfId="36" priority="93">
      <formula>$L$85="Manually set to: Red"</formula>
    </cfRule>
    <cfRule type="expression" dxfId="35" priority="94">
      <formula>$L$85="Manually set to: Yellow"</formula>
    </cfRule>
    <cfRule type="expression" dxfId="34" priority="95">
      <formula>$L$85="Manually set to: Green"</formula>
    </cfRule>
    <cfRule type="expression" dxfId="33" priority="92">
      <formula>$L$85="Manually set to: Grey"</formula>
    </cfRule>
  </conditionalFormatting>
  <conditionalFormatting sqref="L91:L92">
    <cfRule type="expression" dxfId="32" priority="91">
      <formula>$L$91="Manually set to: Green"</formula>
    </cfRule>
    <cfRule type="expression" dxfId="31" priority="90">
      <formula>$L$91="Manually set to: Yellow"</formula>
    </cfRule>
    <cfRule type="expression" dxfId="30" priority="89">
      <formula>$L$91="Manually set to: Red"</formula>
    </cfRule>
    <cfRule type="expression" dxfId="29" priority="88">
      <formula>$L$91="Manually set to: Grey"</formula>
    </cfRule>
  </conditionalFormatting>
  <conditionalFormatting sqref="L94:L95">
    <cfRule type="expression" dxfId="28" priority="87">
      <formula>$L$94="Manually set to: Green"</formula>
    </cfRule>
    <cfRule type="expression" dxfId="27" priority="86">
      <formula>$L$94="Manually set to: Yellow"</formula>
    </cfRule>
    <cfRule type="expression" dxfId="26" priority="85">
      <formula>$L$94="Manually set to: Red"</formula>
    </cfRule>
    <cfRule type="expression" dxfId="25" priority="84">
      <formula>$L$94="Manually set to: Grey"</formula>
    </cfRule>
  </conditionalFormatting>
  <conditionalFormatting sqref="L97">
    <cfRule type="expression" dxfId="24" priority="80">
      <formula>$L$97="Manually set to: Grey"</formula>
    </cfRule>
    <cfRule type="expression" dxfId="23" priority="83">
      <formula>$L$97="Manually set to: Green"</formula>
    </cfRule>
    <cfRule type="expression" dxfId="22" priority="82">
      <formula>$L$97="Manually set to: Yellow"</formula>
    </cfRule>
    <cfRule type="expression" dxfId="21" priority="81">
      <formula>$L$97="Manually set to: Red"</formula>
    </cfRule>
  </conditionalFormatting>
  <conditionalFormatting sqref="L102:L103">
    <cfRule type="expression" dxfId="20" priority="76">
      <formula>$L$102="Manually set to: Grey"</formula>
    </cfRule>
    <cfRule type="expression" dxfId="19" priority="79">
      <formula>$L$102="Manually set to: Green"</formula>
    </cfRule>
    <cfRule type="expression" dxfId="18" priority="78">
      <formula>$L$102="Manually set to: Yellow"</formula>
    </cfRule>
    <cfRule type="expression" dxfId="17" priority="77">
      <formula>$L$102="Manually set to: Red"</formula>
    </cfRule>
  </conditionalFormatting>
  <conditionalFormatting sqref="L105:L106">
    <cfRule type="expression" dxfId="16" priority="72">
      <formula>$L$105="Manually set to: Grey"</formula>
    </cfRule>
    <cfRule type="expression" dxfId="15" priority="73">
      <formula>$L$105="Manually set to: Red"</formula>
    </cfRule>
    <cfRule type="expression" dxfId="14" priority="74">
      <formula>$L$105="Manually set to: Yellow"</formula>
    </cfRule>
    <cfRule type="expression" dxfId="13" priority="75">
      <formula>$L$105="Manually set to: Green"</formula>
    </cfRule>
  </conditionalFormatting>
  <conditionalFormatting sqref="L108:L109">
    <cfRule type="expression" dxfId="12" priority="71">
      <formula>$L$108="Manually set to: Green"</formula>
    </cfRule>
    <cfRule type="expression" dxfId="11" priority="68">
      <formula>$L$108="Manually set to: Grey"</formula>
    </cfRule>
    <cfRule type="expression" dxfId="10" priority="70">
      <formula>$L$108="Manually set to: Yellow"</formula>
    </cfRule>
    <cfRule type="expression" dxfId="9" priority="69">
      <formula>$L$108="Manually set to: Red"</formula>
    </cfRule>
  </conditionalFormatting>
  <conditionalFormatting sqref="L116:L117">
    <cfRule type="expression" dxfId="8" priority="14">
      <formula>$L$116="Manually set to: Grey"</formula>
    </cfRule>
    <cfRule type="expression" dxfId="7" priority="13">
      <formula>$L$116="Manually set to: Red"</formula>
    </cfRule>
    <cfRule type="expression" dxfId="6" priority="12">
      <formula>$L$116="Manually set to: Yellow"</formula>
    </cfRule>
    <cfRule type="expression" dxfId="5" priority="11">
      <formula>$L$116="Manually set to: Green"</formula>
    </cfRule>
  </conditionalFormatting>
  <conditionalFormatting sqref="L118:L119">
    <cfRule type="expression" dxfId="4" priority="15">
      <formula>$L$118="Manually set to: Grey"</formula>
    </cfRule>
    <cfRule type="expression" dxfId="3" priority="16">
      <formula>$L$118="Manually set to: Red"</formula>
    </cfRule>
    <cfRule type="expression" dxfId="2" priority="17">
      <formula>$L$118="Manually set to: Yellow"</formula>
    </cfRule>
    <cfRule type="expression" dxfId="1" priority="18">
      <formula>$L$118="Manually set to: Green"</formula>
    </cfRule>
  </conditionalFormatting>
  <conditionalFormatting sqref="R22">
    <cfRule type="expression" dxfId="0" priority="186">
      <formula>AND(M23="Positive",M24="Positive")</formula>
    </cfRule>
  </conditionalFormatting>
  <dataValidations count="28">
    <dataValidation type="list" allowBlank="1" showInputMessage="1" sqref="C25:E25" xr:uid="{25A61185-B9F5-9C46-AED9-E0C7C6EBB0E5}">
      <formula1>"In vitro bact: OECD 471 (Ames), In vitro mam: OECD 476, In vitro mam: OECD 490, In vivo mam: OECD 488, In vivo mam: OECD 486, In vivo mam: OECD 489,No data"</formula1>
    </dataValidation>
    <dataValidation type="list" allowBlank="1" showInputMessage="1" showErrorMessage="1" sqref="K6" xr:uid="{1681B714-F09A-734C-9459-4352BB6F8D7B}">
      <formula1>"Checked,Not checked,Need QC"</formula1>
    </dataValidation>
    <dataValidation type="list" allowBlank="1" showInputMessage="1" sqref="C18:F18" xr:uid="{DFC1D667-7F6A-BD4D-960C-A12125113780}">
      <formula1>"Not listed,Carc. 1A: H350: May cause cancer,Carc. 1B: H350: May cause cancer,Carc. 2: H351: Suspected of causing cancer,MAK III 1,MAK III 2,MAK III 3B,MAK III 3A,MAK III 4,MAK III 5,IARC 1,IARC 2A,IARC 2B,IARC 3,IARC 4,TLV A1,TLV A2,TLV A3,TLV A4,TLV A5"</formula1>
    </dataValidation>
    <dataValidation type="list" allowBlank="1" showInputMessage="1" sqref="F25" xr:uid="{018B57E9-8297-604D-9F43-1F2319569C63}">
      <formula1>"Positive,Negative"</formula1>
    </dataValidation>
    <dataValidation type="list" allowBlank="1" showInputMessage="1" showErrorMessage="1" sqref="B30 B34" xr:uid="{D0F1B34F-0712-A546-863C-351FE3BF486D}">
      <formula1>"Oral NOAEL =,Inhalation NOAEL ="</formula1>
    </dataValidation>
    <dataValidation type="list" allowBlank="1" showInputMessage="1" showErrorMessage="1" sqref="C24:F24" xr:uid="{02070281-755C-D946-A64D-1A1BDB4E8FDF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howErrorMessage="1" sqref="L114:L116 K18:L19 K21:L22 L29 K37:L38 L33 L40 L52 K24:L24 L64 K91:L92 K94:L95 K111:L112 K105:L106 K108:L109 K29:K31 K33:K35 K40:K44 K85:L85 K52:K56 K68:K69 K64:K66 K46:L46 K58:L58 K79:L79 K73:L73 L102:L103 L118 K114:K115 L68:L70 L97" xr:uid="{808DD683-6878-0342-86F0-5038BDF7B034}">
      <formula1>"Manually set to: Green,Manually set to: Yellow,Manually set to: Red,Manually set to: Grey"</formula1>
    </dataValidation>
    <dataValidation type="list" allowBlank="1" showInputMessage="1" showErrorMessage="1" sqref="B48" xr:uid="{10BE7F63-4DFB-AA4C-A5D8-1F4462C5E621}">
      <formula1>"Acute: LC50 (gas) =,Acute: LC50 (vapor) =,Acute: LC50 (dust/mist/aerosol) ="</formula1>
    </dataValidation>
    <dataValidation type="list" allowBlank="1" showInputMessage="1" showErrorMessage="1" sqref="B49" xr:uid="{C5ED7003-CC42-DD46-A2EC-5B8EFE68802D}">
      <formula1>"Chronic: LOAEL (gas) =,Chronic: LOAEL (vapor) =,Chronic: LOAEL (dust/mist/aerosol) ="</formula1>
    </dataValidation>
    <dataValidation type="list" allowBlank="1" showInputMessage="1" showErrorMessage="1" sqref="K97 K102:K103" xr:uid="{DEF1992A-8AA3-204B-ABD0-82EE6B255493}">
      <formula1>"Manually set to: Green,Manually set to: Yellow,Manually set to: Red,Manually set to: Grey,Manually set to: Purple"</formula1>
    </dataValidation>
    <dataValidation type="list" allowBlank="1" showInputMessage="1" showErrorMessage="1" sqref="C33" xr:uid="{6C25787F-028C-EC44-A88F-7CE514A87FA6}">
      <formula1>"Not listed,Repr. 1A: H360: May damage fertility or the unborn child,Repr. 1B: H360: May damage fertility or the unborn child, Repr. 2: H361: Suspected of damaging fertility or the unborn child,MAK A,MAK B,MAK C"</formula1>
    </dataValidation>
    <dataValidation type="list" allowBlank="1" showInputMessage="1" showErrorMessage="1" sqref="C41" xr:uid="{33E022A1-63D2-8440-8900-B2AF6B57998C}">
      <formula1>"/,STOT SE 1: H370: Causes damage to organs via oral exposure,STOT SE 2: H371: May cause damage to organs via oral exposure,STOT RE 1: H372: Causes damage via repeated oral exposure,STOT RE 2: H373: May cause damage via repeated oral exposure"</formula1>
    </dataValidation>
    <dataValidation type="list" allowBlank="1" showInputMessage="1" showErrorMessage="1" sqref="C40" xr:uid="{C955649C-C337-C74A-B824-A45FEB84B9DB}">
      <formula1>"Not classified, Acute Tox. 1: H300: Fatal if swallowed,Acute Tox. 2: H300: Fatal if swallowed,Acute Tox. 3: H301: Toxic if swallowed,Acute Tox. 4: H302: Harmful if swallowed,Asp. Tox. 1: H304: May be fatal if swallowed and enters airways"</formula1>
    </dataValidation>
    <dataValidation type="list" allowBlank="1" showInputMessage="1" showErrorMessage="1" sqref="C52" xr:uid="{CF68A488-11A9-AA40-8BF9-62CFBA460B75}">
      <formula1>"Not classified,Acute Tox. 1: H310: Fatal in contact with skin,Acute Tox. 2: H310: Fatal in contact with skin,Acute Tox. 3: H311: Toxic in contact with skin,Acute Tox. 4: H312: Harmful in contact with skin"</formula1>
    </dataValidation>
    <dataValidation type="list" allowBlank="1" showInputMessage="1" showErrorMessage="1" sqref="C53" xr:uid="{1136E13F-7C01-484F-BC8E-EF8DBECC9ADD}">
      <formula1>"/,STOT SE 1: H370: Causes damage to organs via dermal exposure,STOT SE 2: H371: May cause damage to organs via dermal exposure,STOT RE 1: H372: Causes damage via repeated dermal exposure,STOT RE 2: H373: May cause damage via repeated dermal exposure"</formula1>
    </dataValidation>
    <dataValidation type="list" allowBlank="1" showInputMessage="1" showErrorMessage="1" sqref="C58:F58" xr:uid="{F555B660-2C2E-1646-BB41-F1EA08D66FBC}">
      <formula1>"Skin Corr. 1: H314 Causes severe skin burns and eye damage, Skin Irrit. 2: H315 Causes skin irritation, Not irritating according to testing,Skin irritating according to testing,Skin corrosive according to testing,No data"</formula1>
    </dataValidation>
    <dataValidation type="list" allowBlank="1" showInputMessage="1" showErrorMessage="1" sqref="C46" xr:uid="{11C614B3-1A3E-CE43-8001-3A5FD0E21492}">
      <formula1>"Not classified,Acute Tox. 1: H330: Fatal if inhaled,Acute Tox. 2: H330: Fatal if inhaled,Acute Tox. 3: H331: Toxic if inhaled,Acute Tox. 4: H332: Harmful if inhaled"</formula1>
    </dataValidation>
    <dataValidation type="list" allowBlank="1" showInputMessage="1" showErrorMessage="1" sqref="C47" xr:uid="{D4C39970-D599-104D-8DAF-B73EE4356B67}">
      <formula1>"/,STOT SE 1: H370: Damages organs via inhal. exp.,STOT SE 2: H371: May damage organs via inhal. exp.,STOT RE 1: H372: Damages organs via repeated inhal. exp.,STOT RE 2: H373: May damage organs via repeated inhal. exp.,STOT SE 3: H336: May cause drowsiness"</formula1>
    </dataValidation>
    <dataValidation type="list" allowBlank="1" showInputMessage="1" showErrorMessage="1" sqref="C73:F73 C79:F79 C85:F85" xr:uid="{C88CAAC2-FEF1-BB43-8633-EED5C57BD4D8}">
      <formula1>"Not Classified,Aqua. Acute 1: H400,Aqua. Acute 2: H401,Aqua. Acute 3: H402,Aqua. Chronic 1: H410,Aqua. Chronic 2: H411,Aqua. Chronic 3: H412,Aqua. Chronic 4: H413"</formula1>
    </dataValidation>
    <dataValidation type="list" allowBlank="1" showInputMessage="1" sqref="C59:F59" xr:uid="{E4C55CAD-3B8A-5744-AA05-B734F0FC5C2F}">
      <formula1>"Eye Dam. 1: H318 Causes serious eye damage,Eye irrit. 2a: H319 Causes serious eye irritation,Eye irrit. 2b: H320 Causes eye irritation,Not irritating according to testing,Eye irritating according to testing,Eye damaging according to testing,No data"</formula1>
    </dataValidation>
    <dataValidation type="list" allowBlank="1" showInputMessage="1" showErrorMessage="1" sqref="C60:F60" xr:uid="{3B243C1D-DED4-844A-BFB3-4390F64C1ACC}">
      <formula1>"STOT SE 3: H335 May cause respiratory tract irritation, Not irritating according to testing, Irritating according to testing, Corrosive according to testing, No data"</formula1>
    </dataValidation>
    <dataValidation type="list" allowBlank="1" showInputMessage="1" showErrorMessage="1" sqref="B102:C102" xr:uid="{4116929B-E367-BE45-A977-B1F29F091AEB}">
      <formula1>"% DOC biodegradation after 28 days:,% ThOD biodegradation after 28 days:,Substance is inherently biodegradable,Degradation halflife time in air:,Degradation halflife time in water, soil or sediment:,QSAR prediction:"</formula1>
    </dataValidation>
    <dataValidation type="list" allowBlank="1" showInputMessage="1" showErrorMessage="1" sqref="C64:F64" xr:uid="{AA103018-C888-5645-A226-1D5104F2F65C}">
      <formula1>"Skin Sens. 1: H317 May cause an allergic skin reaction,MAK Sh,Not sensitzing according to testing,Sensitizing according to testing,No data"</formula1>
    </dataValidation>
    <dataValidation type="list" allowBlank="1" showInputMessage="1" showErrorMessage="1" sqref="C65:F65" xr:uid="{1F70D348-7736-CA4F-AF76-C82FD7A3A0DF}">
      <formula1>" Resp. Sens. 1: H334 May cause allergy or asthma symptoms or breathing difficulties if inhaled, MAK Sa, Not sensitzing according to testing, Sensitizing according to testing, No data"</formula1>
    </dataValidation>
    <dataValidation type="list" allowBlank="1" showInputMessage="1" showErrorMessage="1" sqref="B97" xr:uid="{874E914B-23F9-9245-901A-0ABEFBB09F80}">
      <formula1>"BCF/BAF (experimental):,BCF/BAF (QSAR):"</formula1>
    </dataValidation>
    <dataValidation type="list" allowBlank="1" showInputMessage="1" showErrorMessage="1" sqref="C29:F29" xr:uid="{3DB0C6EE-9B0C-2049-9EEA-7E0D3B826223}">
      <formula1>"Not listed,Repr. 1A: H360: May damage fertility or the unborn child,Repr. 1B: H360: May damage fertility or the unborn child, Repr. 2: H361: Suspected of damaging fertility or the unborn child,MAK A,MAK B,MAK C,H362: Reproductive toxic through lactation"</formula1>
    </dataValidation>
    <dataValidation type="list" allowBlank="1" showInputMessage="1" sqref="C26:E26" xr:uid="{9ADA7ED0-C6BE-2940-9569-27F7472CEAE9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howErrorMessage="1" sqref="F26" xr:uid="{9BAA35DC-193B-6B4E-9AF0-495CE7D8C27B}">
      <formula1>"Positive,Negative"</formula1>
    </dataValidation>
  </dataValidations>
  <hyperlinks>
    <hyperlink ref="B132" r:id="rId1" xr:uid="{B9EA553B-5103-4446-B209-71AB884C01A3}"/>
    <hyperlink ref="B133" r:id="rId2" xr:uid="{2B850A54-52BF-924B-BCA9-A6AC56922B65}"/>
    <hyperlink ref="B134" r:id="rId3" xr:uid="{F2F49A75-EF68-1348-B981-4350FA16F7F6}"/>
    <hyperlink ref="B135" r:id="rId4" xr:uid="{2D64DCD0-9149-A14F-8A9B-CA3757BA2893}"/>
    <hyperlink ref="B137" r:id="rId5" xr:uid="{FC35137C-F9D4-C442-8648-8657BBDE887C}"/>
    <hyperlink ref="B136" r:id="rId6" xr:uid="{1E289C82-2978-BC43-A52D-CFF701389FBF}"/>
    <hyperlink ref="B138" r:id="rId7" xr:uid="{FE4EF741-BE55-674E-AF76-CEFAECE04E56}"/>
    <hyperlink ref="B139" r:id="rId8" xr:uid="{3E65AA86-8C1A-F140-947D-35B0EFEE6403}"/>
    <hyperlink ref="B140" r:id="rId9" xr:uid="{57D27528-0056-204C-AA9C-57DF5E378E8A}"/>
    <hyperlink ref="B141" r:id="rId10" xr:uid="{196EBF9F-D45A-F444-8514-3DB7E74BB418}"/>
    <hyperlink ref="B142" r:id="rId11" xr:uid="{B88C8A54-0743-304D-AAAF-7CCE77D4A1EA}"/>
    <hyperlink ref="B143" r:id="rId12" xr:uid="{27E933F9-3604-D94D-8DEE-E85E3ADB1168}"/>
    <hyperlink ref="B144" r:id="rId13" xr:uid="{0A7E67A1-037A-0641-B4EC-DC68BEF528CE}"/>
    <hyperlink ref="B145" r:id="rId14" xr:uid="{3E221A47-DA2C-434B-B663-D618A82AC92C}"/>
    <hyperlink ref="B146" r:id="rId15" xr:uid="{9B10706D-A8F8-0E41-B755-B77266054D84}"/>
    <hyperlink ref="B147" r:id="rId16" xr:uid="{179F5F42-0CA8-4843-8912-75ABB323F445}"/>
    <hyperlink ref="B148" r:id="rId17" xr:uid="{C758CB73-2EF7-BE48-A02C-FCED1D8D2309}"/>
    <hyperlink ref="B149" r:id="rId18" xr:uid="{404A3E94-A670-9346-8EAB-C465442DCD6D}"/>
    <hyperlink ref="B150" r:id="rId19" xr:uid="{04B7ECB1-A9CA-C249-A8D4-01093E8693C4}"/>
    <hyperlink ref="B151" r:id="rId20" xr:uid="{57BC09E0-AB6E-3E42-B2CD-745B44E73213}"/>
    <hyperlink ref="B152" r:id="rId21" xr:uid="{CCAA0D61-B587-F247-8598-597BBF3F02D4}"/>
    <hyperlink ref="B155" r:id="rId22" xr:uid="{1BF299E2-01B0-7942-8E3A-190FB536FE71}"/>
  </hyperlinks>
  <pageMargins left="0.7" right="0.7" top="0.75" bottom="0.75" header="0.3" footer="0.3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102-76-1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Lentink</dc:creator>
  <cp:lastModifiedBy>Sarah Lentink</cp:lastModifiedBy>
  <dcterms:created xsi:type="dcterms:W3CDTF">2025-07-17T13:11:52Z</dcterms:created>
  <dcterms:modified xsi:type="dcterms:W3CDTF">2025-07-17T13:27:03Z</dcterms:modified>
</cp:coreProperties>
</file>