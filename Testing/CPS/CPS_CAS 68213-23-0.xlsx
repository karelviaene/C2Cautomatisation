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rche/Documents/Python/C2Cautomatisation/Testing/CPS/"/>
    </mc:Choice>
  </mc:AlternateContent>
  <xr:revisionPtr revIDLastSave="0" documentId="13_ncr:1_{EDE5CB3F-7A82-BB4C-9D31-828E7E18AAF3}" xr6:coauthVersionLast="47" xr6:coauthVersionMax="47" xr10:uidLastSave="{00000000-0000-0000-0000-000000000000}"/>
  <bookViews>
    <workbookView xWindow="1440" yWindow="760" windowWidth="28800" windowHeight="17260" xr2:uid="{3C56F46D-DC3B-084F-85E6-93BFE5128AAE}"/>
  </bookViews>
  <sheets>
    <sheet name="68213-23-0" sheetId="1" r:id="rId1"/>
  </sheets>
  <definedNames>
    <definedName name="_xlnm.Print_Area" localSheetId="0">'68213-23-0'!$A$1:$K$116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3" i="1" l="1"/>
  <c r="C87" i="1"/>
  <c r="C82" i="1"/>
  <c r="B65" i="1"/>
  <c r="D53" i="1"/>
  <c r="D52" i="1"/>
  <c r="D51" i="1"/>
  <c r="D37" i="1"/>
  <c r="D33" i="1"/>
</calcChain>
</file>

<file path=xl/sharedStrings.xml><?xml version="1.0" encoding="utf-8"?>
<sst xmlns="http://schemas.openxmlformats.org/spreadsheetml/2006/main" count="225" uniqueCount="148">
  <si>
    <t>Arche</t>
  </si>
  <si>
    <t>Client</t>
  </si>
  <si>
    <t>Project n°</t>
  </si>
  <si>
    <t>Product</t>
  </si>
  <si>
    <t>General information</t>
  </si>
  <si>
    <t>Molecular Formula</t>
  </si>
  <si>
    <t>Chemical name</t>
  </si>
  <si>
    <t>CAS number</t>
  </si>
  <si>
    <t>Name assessor</t>
  </si>
  <si>
    <t>Date</t>
  </si>
  <si>
    <t>Checked</t>
  </si>
  <si>
    <t>Alcohols, C12-18, ethoxylated</t>
  </si>
  <si>
    <t>68213-23-0</t>
  </si>
  <si>
    <t>bram</t>
  </si>
  <si>
    <t>Seth Schittekatte</t>
  </si>
  <si>
    <t>Arnoud Dupon</t>
  </si>
  <si>
    <t>Detailed profile matrix</t>
  </si>
  <si>
    <t>Criteria</t>
  </si>
  <si>
    <t>Value</t>
  </si>
  <si>
    <t>Resource</t>
  </si>
  <si>
    <t>Notifiers</t>
  </si>
  <si>
    <t>Hazard Assessment</t>
  </si>
  <si>
    <t>Risk Assessment</t>
  </si>
  <si>
    <t>HUMAN HEALTH</t>
  </si>
  <si>
    <t>Carcinogenicity</t>
  </si>
  <si>
    <t>Classified or listed:</t>
  </si>
  <si>
    <t>Not listed</t>
  </si>
  <si>
    <t>Disruption of endocrine system</t>
  </si>
  <si>
    <t>Mutagenicity/genotoxicity</t>
  </si>
  <si>
    <t>Point mutations:</t>
  </si>
  <si>
    <t>In vitro bact: OECD 471 (Ames)</t>
  </si>
  <si>
    <t>Negative</t>
  </si>
  <si>
    <t>Read across category</t>
  </si>
  <si>
    <t>ECHA Diss</t>
  </si>
  <si>
    <t>Chromosome damaging:</t>
  </si>
  <si>
    <t>In vitro mam: OECD 473</t>
  </si>
  <si>
    <t>In vitro mam: OECD 476</t>
  </si>
  <si>
    <t>In vivo mam: OECD 474</t>
  </si>
  <si>
    <t>In vivo mam: OECD 475</t>
  </si>
  <si>
    <t>Reproductive toxicity</t>
  </si>
  <si>
    <t>Oral NOAEL =</t>
  </si>
  <si>
    <t>Read across Alcohols, C9-11, ethoxylated</t>
  </si>
  <si>
    <t>Development toxicity</t>
  </si>
  <si>
    <t>Neurotoxicity</t>
  </si>
  <si>
    <t>Oral toxicity</t>
  </si>
  <si>
    <t>Acute Tox classified:</t>
  </si>
  <si>
    <t>Not classified</t>
  </si>
  <si>
    <t>STOT classified:</t>
  </si>
  <si>
    <t>/</t>
  </si>
  <si>
    <t>Acute: LD50 =</t>
  </si>
  <si>
    <t>mg/kg bw</t>
  </si>
  <si>
    <t>Read across Alcohols, C16-18, ethoxylated</t>
  </si>
  <si>
    <t>Chronic: LOAEL =</t>
  </si>
  <si>
    <t>mg/kg  bw/day</t>
  </si>
  <si>
    <t>Inhalative toxicity</t>
  </si>
  <si>
    <t>CLP classification:</t>
  </si>
  <si>
    <t>Manually set to: Yellow</t>
  </si>
  <si>
    <t>Acute: LC50 (vapor) =</t>
  </si>
  <si>
    <t xml:space="preserve">Saturated vapor pressure. </t>
  </si>
  <si>
    <t>Acute: LC50 (dust/mist/aerosol) =</t>
  </si>
  <si>
    <t>Max concentration possible</t>
  </si>
  <si>
    <t>Read across 
Alcohols, C10-16, ethoxylated</t>
  </si>
  <si>
    <t>Chronic: LOAEL (vapor) =</t>
  </si>
  <si>
    <t>Dermal toxicity</t>
  </si>
  <si>
    <t>Acute classified:</t>
  </si>
  <si>
    <t>mg/kg  bw</t>
  </si>
  <si>
    <t>Read across Alcohols, C10-16, ethoxylated</t>
  </si>
  <si>
    <t>Skin, Eye, Respiratory corrosion/irritation</t>
  </si>
  <si>
    <t>Skin:</t>
  </si>
  <si>
    <t>Not irritating according to testing</t>
  </si>
  <si>
    <t>Octadecan-1-ol, ethoxylated</t>
  </si>
  <si>
    <t>Eye:</t>
  </si>
  <si>
    <t xml:space="preserve">
Alcohols, C12-14, ethoxylated</t>
  </si>
  <si>
    <t>Respiratory:</t>
  </si>
  <si>
    <t>No data</t>
  </si>
  <si>
    <t>Sensitization</t>
  </si>
  <si>
    <t>Not sensitzing according to testing</t>
  </si>
  <si>
    <t>Inhalation:</t>
  </si>
  <si>
    <t>Other</t>
  </si>
  <si>
    <t>Assessment</t>
  </si>
  <si>
    <t>ENVIRONMENTAL HEALTH</t>
  </si>
  <si>
    <t>Fish toxicity</t>
  </si>
  <si>
    <t>Not Classified</t>
  </si>
  <si>
    <t>Acute: LC50 (96h) =</t>
  </si>
  <si>
    <t>mg/L</t>
  </si>
  <si>
    <t>Read across alcohol ethoxylate mixture C12 -C14 ethoxylated with 2 EO</t>
  </si>
  <si>
    <t>Chronic: NOEC =</t>
  </si>
  <si>
    <t>Invertebrate toxicity</t>
  </si>
  <si>
    <t>Acute: L(E)C50 (48h) =</t>
  </si>
  <si>
    <t>Algae toxicity</t>
  </si>
  <si>
    <t>Acute: L(E)C20 (72/96h) =</t>
  </si>
  <si>
    <t>Other species toxicity</t>
  </si>
  <si>
    <t>Terrestrial toxicity</t>
  </si>
  <si>
    <t>Bioaccumulation</t>
  </si>
  <si>
    <t>BCF/BAF:</t>
  </si>
  <si>
    <t>L/kg</t>
  </si>
  <si>
    <t>voor C16EO8</t>
  </si>
  <si>
    <t>Log kow:</t>
  </si>
  <si>
    <t>Molecular weight:</t>
  </si>
  <si>
    <t>g/mol</t>
  </si>
  <si>
    <t>Persistence</t>
  </si>
  <si>
    <t>% DOC biodegradation after 28 days:</t>
  </si>
  <si>
    <t>Alcohols, C12-14, ethoxylated</t>
  </si>
  <si>
    <t>Climatic relevance/ozone depletion potential</t>
  </si>
  <si>
    <t>CHEMICAL CLASS</t>
  </si>
  <si>
    <t>Organohalogens</t>
  </si>
  <si>
    <t>Manually set to: Green</t>
  </si>
  <si>
    <t>Toxic metal</t>
  </si>
  <si>
    <t>Combined PB risk flag</t>
  </si>
  <si>
    <t>Combined aquatic risk flag</t>
  </si>
  <si>
    <t>OTHER INFORMATION</t>
  </si>
  <si>
    <t>VOC designation</t>
  </si>
  <si>
    <t>Molecular weight</t>
  </si>
  <si>
    <t>Boiling point</t>
  </si>
  <si>
    <t>Log kow (octanol-water partition coefficient)</t>
  </si>
  <si>
    <t>Vapor pressure</t>
  </si>
  <si>
    <t>Water solubility</t>
  </si>
  <si>
    <t>SMILES</t>
  </si>
  <si>
    <t>Literature sources</t>
  </si>
  <si>
    <t>IPCS INCHEM</t>
  </si>
  <si>
    <t>EPA Ecotox</t>
  </si>
  <si>
    <t>ECHA dessimination website</t>
  </si>
  <si>
    <t>eChemPortal</t>
  </si>
  <si>
    <t>IARC</t>
  </si>
  <si>
    <t>In Pharos</t>
  </si>
  <si>
    <t>ECHA C&amp;L inventory</t>
  </si>
  <si>
    <t>(In pharos)</t>
  </si>
  <si>
    <t>MAK</t>
  </si>
  <si>
    <t>HSBD</t>
  </si>
  <si>
    <t>Colborn list</t>
  </si>
  <si>
    <t>California Proposition 65 list</t>
  </si>
  <si>
    <t>Mundy</t>
  </si>
  <si>
    <t>HPVIS</t>
  </si>
  <si>
    <t>grandjean et al</t>
  </si>
  <si>
    <t>Montreal protocol</t>
  </si>
  <si>
    <t>IPCC</t>
  </si>
  <si>
    <t>EPA ozone depleting substance</t>
  </si>
  <si>
    <t>UBA WGK</t>
  </si>
  <si>
    <t>REACH restricted substances</t>
  </si>
  <si>
    <t>candidate list for SVHC</t>
  </si>
  <si>
    <t>POPs list of Stockholm convention</t>
  </si>
  <si>
    <t>Pharos</t>
  </si>
  <si>
    <t>Endocrine</t>
  </si>
  <si>
    <t>Excel table</t>
  </si>
  <si>
    <t>https://echa.europa.eu/information-on-chemicals</t>
  </si>
  <si>
    <t>Sarah Lentink</t>
  </si>
  <si>
    <t>Own</t>
  </si>
  <si>
    <t>MAK III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</si>
</sst>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trike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3F7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/>
    <xf numFmtId="164" fontId="0" fillId="0" borderId="0" xfId="0" applyNumberFormat="1" applyAlignment="1">
      <alignment horizontal="left"/>
    </xf>
    <xf numFmtId="0" fontId="0" fillId="3" borderId="1" xfId="0" applyFill="1" applyBorder="1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quotePrefix="1" applyNumberFormat="1" applyAlignment="1">
      <alignment horizontal="left"/>
    </xf>
    <xf numFmtId="0" fontId="0" fillId="0" borderId="0" xfId="0" quotePrefix="1"/>
    <xf numFmtId="0" fontId="4" fillId="0" borderId="0" xfId="0" applyFont="1"/>
    <xf numFmtId="0" fontId="1" fillId="0" borderId="1" xfId="0" applyFont="1" applyBorder="1"/>
    <xf numFmtId="0" fontId="1" fillId="0" borderId="4" xfId="0" applyFont="1" applyBorder="1"/>
    <xf numFmtId="0" fontId="0" fillId="4" borderId="5" xfId="0" applyFill="1" applyBorder="1"/>
    <xf numFmtId="0" fontId="0" fillId="4" borderId="2" xfId="0" applyFill="1" applyBorder="1" applyAlignment="1">
      <alignment horizontal="right"/>
    </xf>
    <xf numFmtId="0" fontId="0" fillId="4" borderId="3" xfId="0" applyFill="1" applyBorder="1"/>
    <xf numFmtId="0" fontId="0" fillId="4" borderId="4" xfId="0" applyFill="1" applyBorder="1"/>
    <xf numFmtId="0" fontId="0" fillId="4" borderId="2" xfId="0" applyFill="1" applyBorder="1"/>
    <xf numFmtId="0" fontId="0" fillId="4" borderId="1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4" borderId="8" xfId="0" applyFill="1" applyBorder="1"/>
    <xf numFmtId="0" fontId="0" fillId="4" borderId="0" xfId="0" applyFill="1"/>
    <xf numFmtId="0" fontId="0" fillId="4" borderId="10" xfId="0" applyFill="1" applyBorder="1"/>
    <xf numFmtId="0" fontId="5" fillId="4" borderId="10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horizontal="center"/>
    </xf>
    <xf numFmtId="0" fontId="0" fillId="4" borderId="9" xfId="0" applyFill="1" applyBorder="1"/>
    <xf numFmtId="0" fontId="0" fillId="4" borderId="9" xfId="0" applyFill="1" applyBorder="1" applyAlignment="1">
      <alignment horizontal="right"/>
    </xf>
    <xf numFmtId="0" fontId="5" fillId="4" borderId="8" xfId="0" applyFont="1" applyFill="1" applyBorder="1" applyAlignment="1">
      <alignment wrapText="1"/>
    </xf>
    <xf numFmtId="0" fontId="5" fillId="4" borderId="8" xfId="0" applyFont="1" applyFill="1" applyBorder="1"/>
    <xf numFmtId="0" fontId="0" fillId="5" borderId="1" xfId="0" applyFill="1" applyBorder="1"/>
    <xf numFmtId="0" fontId="5" fillId="4" borderId="8" xfId="0" applyFont="1" applyFill="1" applyBorder="1" applyAlignment="1">
      <alignment horizontal="center"/>
    </xf>
    <xf numFmtId="0" fontId="0" fillId="5" borderId="1" xfId="0" applyFill="1" applyBorder="1" applyAlignment="1">
      <alignment horizontal="right"/>
    </xf>
    <xf numFmtId="2" fontId="0" fillId="8" borderId="1" xfId="0" applyNumberFormat="1" applyFill="1" applyBorder="1"/>
    <xf numFmtId="0" fontId="5" fillId="4" borderId="8" xfId="0" applyFont="1" applyFill="1" applyBorder="1" applyAlignment="1">
      <alignment horizontal="center" wrapText="1"/>
    </xf>
    <xf numFmtId="0" fontId="0" fillId="4" borderId="8" xfId="0" applyFill="1" applyBorder="1" applyAlignment="1">
      <alignment horizontal="center"/>
    </xf>
    <xf numFmtId="0" fontId="0" fillId="0" borderId="9" xfId="0" applyBorder="1" applyAlignment="1">
      <alignment horizontal="right"/>
    </xf>
    <xf numFmtId="0" fontId="0" fillId="8" borderId="1" xfId="0" applyFill="1" applyBorder="1"/>
    <xf numFmtId="0" fontId="0" fillId="0" borderId="0" xfId="0" applyAlignment="1">
      <alignment horizontal="left" vertical="center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2" xfId="0" applyBorder="1"/>
    <xf numFmtId="0" fontId="0" fillId="0" borderId="13" xfId="0" applyBorder="1"/>
    <xf numFmtId="0" fontId="0" fillId="0" borderId="3" xfId="0" applyBorder="1"/>
    <xf numFmtId="0" fontId="5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horizontal="right"/>
    </xf>
    <xf numFmtId="0" fontId="0" fillId="2" borderId="3" xfId="0" applyFill="1" applyBorder="1"/>
    <xf numFmtId="0" fontId="0" fillId="2" borderId="4" xfId="0" applyFill="1" applyBorder="1"/>
    <xf numFmtId="0" fontId="0" fillId="2" borderId="2" xfId="0" applyFill="1" applyBorder="1"/>
    <xf numFmtId="0" fontId="6" fillId="0" borderId="0" xfId="0" applyFont="1"/>
    <xf numFmtId="0" fontId="0" fillId="8" borderId="5" xfId="0" applyFill="1" applyBorder="1"/>
    <xf numFmtId="0" fontId="0" fillId="2" borderId="3" xfId="0" applyFill="1" applyBorder="1" applyAlignment="1">
      <alignment horizontal="right"/>
    </xf>
    <xf numFmtId="0" fontId="5" fillId="2" borderId="4" xfId="0" applyFont="1" applyFill="1" applyBorder="1" applyAlignment="1">
      <alignment wrapText="1"/>
    </xf>
    <xf numFmtId="0" fontId="5" fillId="4" borderId="9" xfId="0" applyFont="1" applyFill="1" applyBorder="1" applyAlignment="1">
      <alignment horizontal="center" wrapText="1"/>
    </xf>
    <xf numFmtId="0" fontId="0" fillId="4" borderId="10" xfId="0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20" xfId="0" applyBorder="1"/>
    <xf numFmtId="0" fontId="0" fillId="0" borderId="22" xfId="0" applyBorder="1"/>
    <xf numFmtId="0" fontId="0" fillId="0" borderId="23" xfId="0" applyBorder="1"/>
    <xf numFmtId="0" fontId="0" fillId="0" borderId="6" xfId="0" applyBorder="1" applyAlignment="1">
      <alignment horizontal="right"/>
    </xf>
    <xf numFmtId="0" fontId="0" fillId="0" borderId="25" xfId="0" applyBorder="1"/>
    <xf numFmtId="0" fontId="0" fillId="0" borderId="14" xfId="0" applyBorder="1" applyAlignment="1">
      <alignment horizontal="right"/>
    </xf>
    <xf numFmtId="0" fontId="2" fillId="0" borderId="0" xfId="1" applyAlignment="1">
      <alignment horizontal="right"/>
    </xf>
    <xf numFmtId="0" fontId="2" fillId="0" borderId="0" xfId="1" applyFill="1" applyBorder="1" applyAlignment="1">
      <alignment horizontal="right"/>
    </xf>
    <xf numFmtId="0" fontId="8" fillId="0" borderId="0" xfId="0" applyFont="1"/>
    <xf numFmtId="0" fontId="2" fillId="9" borderId="0" xfId="1" applyFill="1" applyBorder="1" applyAlignment="1">
      <alignment horizontal="right"/>
    </xf>
    <xf numFmtId="0" fontId="0" fillId="9" borderId="0" xfId="0" applyFill="1"/>
    <xf numFmtId="16" fontId="0" fillId="9" borderId="0" xfId="0" applyNumberFormat="1" applyFill="1"/>
    <xf numFmtId="0" fontId="5" fillId="0" borderId="8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5" fillId="6" borderId="5" xfId="0" applyFont="1" applyFill="1" applyBorder="1" applyAlignment="1">
      <alignment horizontal="center" wrapText="1"/>
    </xf>
    <xf numFmtId="0" fontId="5" fillId="6" borderId="8" xfId="0" applyFont="1" applyFill="1" applyBorder="1" applyAlignment="1">
      <alignment horizontal="center" wrapText="1"/>
    </xf>
    <xf numFmtId="0" fontId="5" fillId="7" borderId="8" xfId="0" applyFont="1" applyFill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6" borderId="8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 wrapText="1"/>
    </xf>
    <xf numFmtId="0" fontId="5" fillId="0" borderId="13" xfId="0" applyFont="1" applyBorder="1" applyAlignment="1">
      <alignment horizontal="center"/>
    </xf>
    <xf numFmtId="0" fontId="0" fillId="5" borderId="2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0" fillId="5" borderId="4" xfId="0" applyFill="1" applyBorder="1" applyAlignment="1">
      <alignment horizontal="left" wrapText="1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5" fillId="0" borderId="10" xfId="0" applyFont="1" applyBorder="1" applyAlignment="1">
      <alignment horizont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5" fillId="9" borderId="8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32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F3F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F3FCC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F3FCC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 patternType="solid">
          <bgColor rgb="FFFF00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FF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3F7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oxnet.nlm.nih.gov/cgi-bin/sis/htmlgen?HSDB" TargetMode="External"/><Relationship Id="rId13" Type="http://schemas.openxmlformats.org/officeDocument/2006/relationships/hyperlink" Target="file:///var/folders/_k/bkfyrth50_s35ywj3s36hy700000gp/T/Templates/databases/grandjean.pdf" TargetMode="External"/><Relationship Id="rId18" Type="http://schemas.openxmlformats.org/officeDocument/2006/relationships/hyperlink" Target="http://echa.europa.eu/addressing-chemicals-of-concern/restrictions/list-of-restrictions" TargetMode="External"/><Relationship Id="rId3" Type="http://schemas.openxmlformats.org/officeDocument/2006/relationships/hyperlink" Target="http://echa.europa.eu/web/guest/information-on-chemicals/registered-substances" TargetMode="External"/><Relationship Id="rId21" Type="http://schemas.openxmlformats.org/officeDocument/2006/relationships/hyperlink" Target="https://www.pharosproject.net/" TargetMode="External"/><Relationship Id="rId7" Type="http://schemas.openxmlformats.org/officeDocument/2006/relationships/hyperlink" Target="http://onlinelibrary.wiley.com/book/10.1002/9783527666034" TargetMode="External"/><Relationship Id="rId12" Type="http://schemas.openxmlformats.org/officeDocument/2006/relationships/hyperlink" Target="http://www.epa.gov/hpvis/" TargetMode="External"/><Relationship Id="rId17" Type="http://schemas.openxmlformats.org/officeDocument/2006/relationships/hyperlink" Target="http://webrigoletto.uba.de/rigoletto/public/searchRequest.do?event=request" TargetMode="External"/><Relationship Id="rId2" Type="http://schemas.openxmlformats.org/officeDocument/2006/relationships/hyperlink" Target="http://cfpub.epa.gov/ecotox/" TargetMode="External"/><Relationship Id="rId16" Type="http://schemas.openxmlformats.org/officeDocument/2006/relationships/hyperlink" Target="http://www.epa.gov/ozone/geninfo/gwps.html" TargetMode="External"/><Relationship Id="rId20" Type="http://schemas.openxmlformats.org/officeDocument/2006/relationships/hyperlink" Target="http://chm.pops.int/Convention/ThePOPs/ListingofPOPs/tabid/2509/Default.aspx" TargetMode="External"/><Relationship Id="rId1" Type="http://schemas.openxmlformats.org/officeDocument/2006/relationships/hyperlink" Target="http://www.inchem.org/" TargetMode="External"/><Relationship Id="rId6" Type="http://schemas.openxmlformats.org/officeDocument/2006/relationships/hyperlink" Target="https://monographs.iarc.fr/list-of-classifications" TargetMode="External"/><Relationship Id="rId11" Type="http://schemas.openxmlformats.org/officeDocument/2006/relationships/hyperlink" Target="file:///var/folders/_k/bkfyrth50_s35ywj3s36hy700000gp/T/Templates/databases/EPA_mundy_list%20.xlsx" TargetMode="External"/><Relationship Id="rId5" Type="http://schemas.openxmlformats.org/officeDocument/2006/relationships/hyperlink" Target="http://echa.europa.eu/ja/regulations/clp/cl-inventory" TargetMode="External"/><Relationship Id="rId15" Type="http://schemas.openxmlformats.org/officeDocument/2006/relationships/hyperlink" Target="http://www.grida.no/publications/other/ipcc_tar/?src=/climate/ipcc_tar/wg1/248.htm" TargetMode="External"/><Relationship Id="rId10" Type="http://schemas.openxmlformats.org/officeDocument/2006/relationships/hyperlink" Target="http://oehha.ca.gov/prop65/prop65_list/newlist.html" TargetMode="External"/><Relationship Id="rId19" Type="http://schemas.openxmlformats.org/officeDocument/2006/relationships/hyperlink" Target="http://echa.europa.eu/nl/candidate-list-table" TargetMode="External"/><Relationship Id="rId4" Type="http://schemas.openxmlformats.org/officeDocument/2006/relationships/hyperlink" Target="https://www.echemportal.org/echemportal/substance-search" TargetMode="External"/><Relationship Id="rId9" Type="http://schemas.openxmlformats.org/officeDocument/2006/relationships/hyperlink" Target="http://www.ourstolenfuture.com/Basics/chemlist.htm" TargetMode="External"/><Relationship Id="rId14" Type="http://schemas.openxmlformats.org/officeDocument/2006/relationships/hyperlink" Target="http://www.epa.gov/ozone/science/ods/index.html" TargetMode="External"/><Relationship Id="rId22" Type="http://schemas.openxmlformats.org/officeDocument/2006/relationships/hyperlink" Target="https://echa.europa.eu/information-on-chemic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9FA6-8318-6D49-994A-A4B687B98AA7}">
  <sheetPr codeName="Sheet2">
    <pageSetUpPr fitToPage="1"/>
  </sheetPr>
  <dimension ref="A1:L156"/>
  <sheetViews>
    <sheetView tabSelected="1" topLeftCell="A3" workbookViewId="0">
      <selection activeCell="C22" sqref="C22"/>
    </sheetView>
  </sheetViews>
  <sheetFormatPr baseColWidth="10" defaultRowHeight="16" x14ac:dyDescent="0.2"/>
  <cols>
    <col min="1" max="1" width="37.83203125" bestFit="1" customWidth="1"/>
    <col min="2" max="2" width="24.6640625" style="6" customWidth="1"/>
    <col min="3" max="3" width="14.5" customWidth="1"/>
    <col min="4" max="4" width="10.83203125" customWidth="1"/>
    <col min="5" max="5" width="6.83203125" customWidth="1"/>
    <col min="6" max="6" width="26.83203125" customWidth="1"/>
    <col min="7" max="7" width="5.6640625" customWidth="1"/>
    <col min="8" max="8" width="19.33203125" customWidth="1"/>
    <col min="9" max="9" width="11.1640625" customWidth="1"/>
    <col min="10" max="10" width="12.83203125" customWidth="1"/>
    <col min="11" max="11" width="17.83203125" customWidth="1"/>
    <col min="12" max="12" width="17" customWidth="1"/>
  </cols>
  <sheetData>
    <row r="1" spans="1:12" x14ac:dyDescent="0.2">
      <c r="A1" s="1" t="s">
        <v>0</v>
      </c>
      <c r="B1" s="2" t="s">
        <v>1</v>
      </c>
      <c r="C1" s="3"/>
      <c r="D1" s="3"/>
      <c r="F1" s="3" t="s">
        <v>2</v>
      </c>
      <c r="G1" s="3"/>
      <c r="H1" s="3" t="s">
        <v>3</v>
      </c>
    </row>
    <row r="3" spans="1:12" x14ac:dyDescent="0.2">
      <c r="A3" s="4" t="s">
        <v>4</v>
      </c>
      <c r="B3" s="5"/>
      <c r="C3" s="4"/>
      <c r="D3" s="4"/>
      <c r="E3" s="4"/>
      <c r="F3" s="4"/>
      <c r="G3" s="4"/>
      <c r="H3" s="4"/>
      <c r="I3" s="4"/>
      <c r="J3" s="4"/>
      <c r="K3" s="4"/>
    </row>
    <row r="4" spans="1:12" x14ac:dyDescent="0.2">
      <c r="A4" s="1"/>
    </row>
    <row r="5" spans="1:12" x14ac:dyDescent="0.2">
      <c r="A5" s="3" t="s">
        <v>5</v>
      </c>
      <c r="B5" s="2" t="s">
        <v>6</v>
      </c>
      <c r="D5" s="3"/>
      <c r="F5" s="3" t="s">
        <v>7</v>
      </c>
      <c r="G5" s="3"/>
      <c r="H5" s="3" t="s">
        <v>8</v>
      </c>
      <c r="I5" s="3" t="s">
        <v>9</v>
      </c>
      <c r="J5" s="3"/>
      <c r="K5" s="3" t="s">
        <v>10</v>
      </c>
      <c r="L5" s="3"/>
    </row>
    <row r="6" spans="1:12" ht="16" customHeight="1" x14ac:dyDescent="0.2">
      <c r="B6" s="83" t="s">
        <v>11</v>
      </c>
      <c r="C6" s="83"/>
      <c r="D6" s="83"/>
      <c r="F6" s="7" t="s">
        <v>12</v>
      </c>
      <c r="G6" s="3"/>
      <c r="H6" t="s">
        <v>13</v>
      </c>
      <c r="I6" s="8">
        <v>43489</v>
      </c>
      <c r="J6" s="8"/>
      <c r="K6" s="9" t="s">
        <v>10</v>
      </c>
      <c r="L6" s="3"/>
    </row>
    <row r="7" spans="1:12" x14ac:dyDescent="0.2">
      <c r="B7" s="83"/>
      <c r="C7" s="83"/>
      <c r="D7" s="83"/>
      <c r="F7" s="7"/>
      <c r="H7" t="s">
        <v>14</v>
      </c>
      <c r="I7" s="10">
        <v>44497</v>
      </c>
      <c r="J7" s="10"/>
    </row>
    <row r="8" spans="1:12" x14ac:dyDescent="0.2">
      <c r="C8" s="11"/>
      <c r="F8" s="7"/>
      <c r="H8" t="s">
        <v>15</v>
      </c>
      <c r="I8" s="12">
        <v>44796</v>
      </c>
      <c r="J8" s="8"/>
    </row>
    <row r="9" spans="1:12" x14ac:dyDescent="0.2">
      <c r="C9" s="11"/>
      <c r="F9" s="7"/>
      <c r="H9" t="s">
        <v>145</v>
      </c>
      <c r="I9" s="12">
        <v>45554</v>
      </c>
      <c r="J9" s="8"/>
    </row>
    <row r="10" spans="1:12" x14ac:dyDescent="0.2">
      <c r="C10" s="11"/>
      <c r="E10" s="6"/>
      <c r="F10" s="7"/>
      <c r="I10" s="12"/>
      <c r="J10" s="8"/>
    </row>
    <row r="11" spans="1:12" x14ac:dyDescent="0.2">
      <c r="C11" s="11"/>
      <c r="D11" s="13"/>
      <c r="F11" s="7"/>
      <c r="I11" s="12"/>
      <c r="J11" s="8"/>
    </row>
    <row r="12" spans="1:12" x14ac:dyDescent="0.2">
      <c r="E12" s="13"/>
      <c r="F12" s="7"/>
      <c r="I12" s="8"/>
      <c r="J12" s="8"/>
      <c r="K12" s="8"/>
    </row>
    <row r="13" spans="1:12" ht="51" customHeight="1" x14ac:dyDescent="0.2">
      <c r="C13" s="14"/>
      <c r="F13" s="7"/>
    </row>
    <row r="14" spans="1:12" x14ac:dyDescent="0.2">
      <c r="A14" s="4" t="s">
        <v>16</v>
      </c>
      <c r="B14" s="5"/>
      <c r="C14" s="4"/>
      <c r="D14" s="4"/>
      <c r="E14" s="4"/>
      <c r="F14" s="4"/>
      <c r="G14" s="4"/>
      <c r="H14" s="4"/>
      <c r="I14" s="4"/>
      <c r="J14" s="4"/>
      <c r="K14" s="4"/>
    </row>
    <row r="16" spans="1:12" x14ac:dyDescent="0.2">
      <c r="A16" s="15" t="s">
        <v>17</v>
      </c>
      <c r="B16" s="84" t="s">
        <v>18</v>
      </c>
      <c r="C16" s="85"/>
      <c r="D16" s="85"/>
      <c r="E16" s="85"/>
      <c r="F16" s="85"/>
      <c r="G16" s="86"/>
      <c r="H16" s="87" t="s">
        <v>19</v>
      </c>
      <c r="I16" s="88"/>
      <c r="J16" s="16" t="s">
        <v>20</v>
      </c>
      <c r="K16" s="15" t="s">
        <v>21</v>
      </c>
      <c r="L16" s="15" t="s">
        <v>22</v>
      </c>
    </row>
    <row r="17" spans="1:12" x14ac:dyDescent="0.2">
      <c r="A17" s="17" t="s">
        <v>23</v>
      </c>
      <c r="B17" s="18"/>
      <c r="C17" s="19"/>
      <c r="D17" s="19"/>
      <c r="E17" s="19"/>
      <c r="F17" s="19"/>
      <c r="G17" s="20"/>
      <c r="H17" s="21"/>
      <c r="I17" s="20"/>
      <c r="J17" s="20"/>
      <c r="K17" s="22"/>
      <c r="L17" s="22"/>
    </row>
    <row r="18" spans="1:12" x14ac:dyDescent="0.2">
      <c r="A18" s="23" t="s">
        <v>24</v>
      </c>
      <c r="B18" s="6" t="s">
        <v>25</v>
      </c>
      <c r="C18" s="89" t="s">
        <v>147</v>
      </c>
      <c r="D18" s="90"/>
      <c r="E18" s="90"/>
      <c r="F18" s="91"/>
      <c r="H18" s="24" t="s">
        <v>146</v>
      </c>
      <c r="I18" s="25"/>
      <c r="J18" s="23"/>
      <c r="K18" s="92"/>
      <c r="L18" s="82"/>
    </row>
    <row r="19" spans="1:12" x14ac:dyDescent="0.2">
      <c r="A19" s="26"/>
      <c r="H19" s="27"/>
      <c r="I19" s="28"/>
      <c r="J19" s="26"/>
      <c r="K19" s="93"/>
      <c r="L19" s="82"/>
    </row>
    <row r="20" spans="1:12" ht="8" customHeight="1" x14ac:dyDescent="0.2">
      <c r="A20" s="29"/>
      <c r="B20" s="30"/>
      <c r="C20" s="30"/>
      <c r="D20" s="30"/>
      <c r="E20" s="30"/>
      <c r="F20" s="30"/>
      <c r="G20" s="31"/>
      <c r="H20" s="30"/>
      <c r="I20" s="31"/>
      <c r="J20" s="29"/>
      <c r="K20" s="32"/>
      <c r="L20" s="33"/>
    </row>
    <row r="21" spans="1:12" x14ac:dyDescent="0.2">
      <c r="A21" s="26" t="s">
        <v>27</v>
      </c>
      <c r="H21" s="27"/>
      <c r="I21" s="28"/>
      <c r="J21" s="26"/>
      <c r="K21" s="93"/>
      <c r="L21" s="82"/>
    </row>
    <row r="22" spans="1:12" x14ac:dyDescent="0.2">
      <c r="A22" s="26"/>
      <c r="H22" s="27"/>
      <c r="I22" s="28"/>
      <c r="J22" s="26"/>
      <c r="K22" s="93"/>
      <c r="L22" s="82"/>
    </row>
    <row r="23" spans="1:12" ht="8" customHeight="1" x14ac:dyDescent="0.2">
      <c r="A23" s="34"/>
      <c r="B23" s="35"/>
      <c r="C23" s="30"/>
      <c r="D23" s="30"/>
      <c r="E23" s="30"/>
      <c r="F23" s="30"/>
      <c r="G23" s="31"/>
      <c r="H23" s="34"/>
      <c r="I23" s="31"/>
      <c r="J23" s="31"/>
      <c r="K23" s="36"/>
      <c r="L23" s="37"/>
    </row>
    <row r="24" spans="1:12" ht="16" customHeight="1" x14ac:dyDescent="0.2">
      <c r="A24" s="28" t="s">
        <v>28</v>
      </c>
      <c r="B24" s="6" t="s">
        <v>25</v>
      </c>
      <c r="C24" s="89" t="s">
        <v>26</v>
      </c>
      <c r="D24" s="90"/>
      <c r="E24" s="90"/>
      <c r="F24" s="91"/>
      <c r="H24" s="27"/>
      <c r="I24" s="28"/>
      <c r="J24" s="26"/>
      <c r="K24" s="94"/>
      <c r="L24" s="82"/>
    </row>
    <row r="25" spans="1:12" x14ac:dyDescent="0.2">
      <c r="A25" s="28"/>
      <c r="B25" s="6" t="s">
        <v>29</v>
      </c>
      <c r="C25" s="89" t="s">
        <v>30</v>
      </c>
      <c r="D25" s="90"/>
      <c r="E25" s="91"/>
      <c r="F25" s="38" t="s">
        <v>31</v>
      </c>
      <c r="H25" s="27" t="s">
        <v>32</v>
      </c>
      <c r="I25" s="28" t="s">
        <v>33</v>
      </c>
      <c r="J25" s="26"/>
      <c r="K25" s="94"/>
      <c r="L25" s="82"/>
    </row>
    <row r="26" spans="1:12" x14ac:dyDescent="0.2">
      <c r="A26" s="28"/>
      <c r="B26" s="6" t="s">
        <v>34</v>
      </c>
      <c r="C26" s="89" t="s">
        <v>35</v>
      </c>
      <c r="D26" s="90"/>
      <c r="E26" s="91"/>
      <c r="F26" s="38" t="s">
        <v>31</v>
      </c>
      <c r="H26" s="27" t="s">
        <v>32</v>
      </c>
      <c r="I26" s="28" t="s">
        <v>33</v>
      </c>
      <c r="J26" s="26"/>
      <c r="K26" s="94"/>
      <c r="L26" s="82"/>
    </row>
    <row r="27" spans="1:12" x14ac:dyDescent="0.2">
      <c r="A27" s="28"/>
      <c r="B27" s="6" t="s">
        <v>29</v>
      </c>
      <c r="C27" s="89" t="s">
        <v>36</v>
      </c>
      <c r="D27" s="90"/>
      <c r="E27" s="90"/>
      <c r="F27" s="38" t="s">
        <v>31</v>
      </c>
      <c r="H27" s="27" t="s">
        <v>32</v>
      </c>
      <c r="I27" s="28" t="s">
        <v>33</v>
      </c>
      <c r="J27" s="26"/>
      <c r="K27" s="94"/>
      <c r="L27" s="82"/>
    </row>
    <row r="28" spans="1:12" x14ac:dyDescent="0.2">
      <c r="A28" s="28"/>
      <c r="B28" s="6" t="s">
        <v>34</v>
      </c>
      <c r="C28" s="89" t="s">
        <v>37</v>
      </c>
      <c r="D28" s="90"/>
      <c r="E28" s="91"/>
      <c r="F28" s="38" t="s">
        <v>31</v>
      </c>
      <c r="H28" s="27" t="s">
        <v>32</v>
      </c>
      <c r="I28" s="28" t="s">
        <v>33</v>
      </c>
      <c r="J28" s="26"/>
      <c r="K28" s="94"/>
      <c r="L28" s="82"/>
    </row>
    <row r="29" spans="1:12" x14ac:dyDescent="0.2">
      <c r="A29" s="28"/>
      <c r="B29" s="6" t="s">
        <v>34</v>
      </c>
      <c r="C29" s="89" t="s">
        <v>38</v>
      </c>
      <c r="D29" s="90"/>
      <c r="E29" s="91"/>
      <c r="F29" s="38" t="s">
        <v>31</v>
      </c>
      <c r="H29" s="27" t="s">
        <v>32</v>
      </c>
      <c r="I29" s="28" t="s">
        <v>33</v>
      </c>
      <c r="J29" s="26"/>
      <c r="K29" s="94"/>
      <c r="L29" s="82"/>
    </row>
    <row r="30" spans="1:12" x14ac:dyDescent="0.2">
      <c r="A30" s="28"/>
      <c r="H30" s="27"/>
      <c r="I30" s="28"/>
      <c r="J30" s="26"/>
      <c r="K30" s="94"/>
      <c r="L30" s="82"/>
    </row>
    <row r="31" spans="1:12" ht="8" customHeight="1" x14ac:dyDescent="0.2">
      <c r="A31" s="29"/>
      <c r="B31" s="35"/>
      <c r="C31" s="30"/>
      <c r="D31" s="30"/>
      <c r="E31" s="30"/>
      <c r="F31" s="30"/>
      <c r="G31" s="31"/>
      <c r="H31" s="34"/>
      <c r="I31" s="31"/>
      <c r="J31" s="29"/>
      <c r="K31" s="36"/>
      <c r="L31" s="39"/>
    </row>
    <row r="32" spans="1:12" ht="16" customHeight="1" x14ac:dyDescent="0.2">
      <c r="A32" s="26" t="s">
        <v>39</v>
      </c>
      <c r="B32" s="6" t="s">
        <v>25</v>
      </c>
      <c r="C32" s="89" t="s">
        <v>26</v>
      </c>
      <c r="D32" s="90"/>
      <c r="E32" s="90"/>
      <c r="F32" s="91"/>
      <c r="H32" s="27"/>
      <c r="I32" s="28"/>
      <c r="J32" s="26"/>
      <c r="K32" s="95"/>
      <c r="L32" s="82"/>
    </row>
    <row r="33" spans="1:12" x14ac:dyDescent="0.2">
      <c r="A33" s="26"/>
      <c r="B33" s="40" t="s">
        <v>40</v>
      </c>
      <c r="C33" s="41">
        <v>250</v>
      </c>
      <c r="D33" t="str">
        <f>IF(B33="Oral NOAEL =","mg/kg bw/day",IF(B33="Inhalation NOAEL =","mg/l 6-8 h/day"," "))</f>
        <v>mg/kg bw/day</v>
      </c>
      <c r="H33" s="27" t="s">
        <v>41</v>
      </c>
      <c r="I33" s="28" t="s">
        <v>33</v>
      </c>
      <c r="J33" s="26"/>
      <c r="K33" s="95"/>
      <c r="L33" s="82"/>
    </row>
    <row r="34" spans="1:12" x14ac:dyDescent="0.2">
      <c r="A34" s="26"/>
      <c r="H34" s="27"/>
      <c r="I34" s="28"/>
      <c r="J34" s="26"/>
      <c r="K34" s="95"/>
      <c r="L34" s="82"/>
    </row>
    <row r="35" spans="1:12" ht="8" customHeight="1" x14ac:dyDescent="0.2">
      <c r="A35" s="34"/>
      <c r="B35" s="35"/>
      <c r="C35" s="30"/>
      <c r="D35" s="30"/>
      <c r="E35" s="30"/>
      <c r="F35" s="30"/>
      <c r="G35" s="31"/>
      <c r="H35" s="34"/>
      <c r="I35" s="31"/>
      <c r="J35" s="29"/>
      <c r="K35" s="42"/>
      <c r="L35" s="43"/>
    </row>
    <row r="36" spans="1:12" x14ac:dyDescent="0.2">
      <c r="A36" s="28" t="s">
        <v>42</v>
      </c>
      <c r="B36" s="6" t="s">
        <v>25</v>
      </c>
      <c r="C36" s="89" t="s">
        <v>26</v>
      </c>
      <c r="D36" s="90"/>
      <c r="E36" s="90"/>
      <c r="F36" s="91"/>
      <c r="H36" s="27"/>
      <c r="I36" s="28"/>
      <c r="J36" s="26"/>
      <c r="K36" s="95"/>
      <c r="L36" s="82"/>
    </row>
    <row r="37" spans="1:12" x14ac:dyDescent="0.2">
      <c r="A37" s="28"/>
      <c r="B37" s="40" t="s">
        <v>40</v>
      </c>
      <c r="C37" s="41">
        <v>250</v>
      </c>
      <c r="D37" t="str">
        <f>IF(B37="Oral NOAEL =","mg/kg bw/day",IF(B37="Inhalation NOAEL =","mg/l 6-8 h/day"," "))</f>
        <v>mg/kg bw/day</v>
      </c>
      <c r="H37" s="27" t="s">
        <v>41</v>
      </c>
      <c r="I37" s="28" t="s">
        <v>33</v>
      </c>
      <c r="J37" s="26"/>
      <c r="K37" s="95"/>
      <c r="L37" s="82"/>
    </row>
    <row r="38" spans="1:12" x14ac:dyDescent="0.2">
      <c r="A38" s="28"/>
      <c r="H38" s="27"/>
      <c r="I38" s="28"/>
      <c r="J38" s="26"/>
      <c r="K38" s="95"/>
      <c r="L38" s="82"/>
    </row>
    <row r="39" spans="1:12" ht="8" customHeight="1" x14ac:dyDescent="0.2">
      <c r="A39" s="34"/>
      <c r="B39" s="35"/>
      <c r="C39" s="30"/>
      <c r="D39" s="30"/>
      <c r="E39" s="30"/>
      <c r="F39" s="30"/>
      <c r="G39" s="31"/>
      <c r="H39" s="34"/>
      <c r="I39" s="31"/>
      <c r="J39" s="29"/>
      <c r="K39" s="42"/>
      <c r="L39" s="39"/>
    </row>
    <row r="40" spans="1:12" x14ac:dyDescent="0.2">
      <c r="A40" s="28" t="s">
        <v>43</v>
      </c>
      <c r="G40" s="28"/>
      <c r="I40" s="28"/>
      <c r="J40" s="26"/>
      <c r="K40" s="96"/>
      <c r="L40" s="82"/>
    </row>
    <row r="41" spans="1:12" x14ac:dyDescent="0.2">
      <c r="A41" s="28"/>
      <c r="B41"/>
      <c r="G41" s="28"/>
      <c r="I41" s="28"/>
      <c r="J41" s="26"/>
      <c r="K41" s="96"/>
      <c r="L41" s="82"/>
    </row>
    <row r="42" spans="1:12" ht="8" customHeight="1" x14ac:dyDescent="0.2">
      <c r="A42" s="29"/>
      <c r="B42" s="35"/>
      <c r="C42" s="30"/>
      <c r="D42" s="30"/>
      <c r="E42" s="30"/>
      <c r="F42" s="30"/>
      <c r="G42" s="31"/>
      <c r="H42" s="34"/>
      <c r="I42" s="31"/>
      <c r="J42" s="29"/>
      <c r="K42" s="42"/>
      <c r="L42" s="39"/>
    </row>
    <row r="43" spans="1:12" x14ac:dyDescent="0.2">
      <c r="A43" s="28" t="s">
        <v>44</v>
      </c>
      <c r="B43" s="6" t="s">
        <v>45</v>
      </c>
      <c r="C43" s="89" t="s">
        <v>46</v>
      </c>
      <c r="D43" s="90"/>
      <c r="E43" s="90"/>
      <c r="F43" s="91"/>
      <c r="G43" s="28"/>
      <c r="I43" s="28"/>
      <c r="J43" s="26"/>
      <c r="K43" s="95"/>
      <c r="L43" s="82"/>
    </row>
    <row r="44" spans="1:12" x14ac:dyDescent="0.2">
      <c r="A44" s="28"/>
      <c r="B44" s="6" t="s">
        <v>47</v>
      </c>
      <c r="C44" s="89" t="s">
        <v>48</v>
      </c>
      <c r="D44" s="90"/>
      <c r="E44" s="90"/>
      <c r="F44" s="91"/>
      <c r="G44" s="28"/>
      <c r="I44" s="28"/>
      <c r="J44" s="26"/>
      <c r="K44" s="95"/>
      <c r="L44" s="82"/>
    </row>
    <row r="45" spans="1:12" x14ac:dyDescent="0.2">
      <c r="B45" s="44" t="s">
        <v>49</v>
      </c>
      <c r="C45" s="45">
        <v>10000</v>
      </c>
      <c r="D45" t="s">
        <v>50</v>
      </c>
      <c r="E45" s="7"/>
      <c r="G45" s="28"/>
      <c r="H45" s="27" t="s">
        <v>51</v>
      </c>
      <c r="I45" s="28" t="s">
        <v>33</v>
      </c>
      <c r="J45" s="26"/>
      <c r="K45" s="95"/>
      <c r="L45" s="82"/>
    </row>
    <row r="46" spans="1:12" x14ac:dyDescent="0.2">
      <c r="B46" s="44" t="s">
        <v>52</v>
      </c>
      <c r="C46" s="45">
        <v>500</v>
      </c>
      <c r="D46" t="s">
        <v>53</v>
      </c>
      <c r="G46" s="28"/>
      <c r="H46" s="27" t="s">
        <v>51</v>
      </c>
      <c r="I46" s="28" t="s">
        <v>33</v>
      </c>
      <c r="J46" s="26"/>
      <c r="K46" s="95"/>
      <c r="L46" s="82"/>
    </row>
    <row r="47" spans="1:12" x14ac:dyDescent="0.2">
      <c r="A47" s="28"/>
      <c r="G47" s="28"/>
      <c r="I47" s="28"/>
      <c r="J47" s="26"/>
      <c r="K47" s="95"/>
      <c r="L47" s="82"/>
    </row>
    <row r="48" spans="1:12" ht="8" customHeight="1" x14ac:dyDescent="0.2">
      <c r="A48" s="29"/>
      <c r="B48" s="35"/>
      <c r="C48" s="30"/>
      <c r="D48" s="30"/>
      <c r="E48" s="30"/>
      <c r="F48" s="30"/>
      <c r="G48" s="31"/>
      <c r="H48" s="34"/>
      <c r="I48" s="31"/>
      <c r="J48" s="29"/>
      <c r="K48" s="42"/>
      <c r="L48" s="39"/>
    </row>
    <row r="49" spans="1:12" x14ac:dyDescent="0.2">
      <c r="A49" s="28" t="s">
        <v>54</v>
      </c>
      <c r="B49" s="6" t="s">
        <v>55</v>
      </c>
      <c r="C49" s="89" t="s">
        <v>46</v>
      </c>
      <c r="D49" s="90"/>
      <c r="E49" s="90"/>
      <c r="F49" s="91"/>
      <c r="G49" s="28"/>
      <c r="I49" s="28"/>
      <c r="J49" s="26"/>
      <c r="K49" s="82" t="s">
        <v>56</v>
      </c>
      <c r="L49" s="82"/>
    </row>
    <row r="50" spans="1:12" x14ac:dyDescent="0.2">
      <c r="A50" s="28"/>
      <c r="B50" s="6" t="s">
        <v>47</v>
      </c>
      <c r="C50" s="89" t="s">
        <v>48</v>
      </c>
      <c r="D50" s="90"/>
      <c r="E50" s="90"/>
      <c r="F50" s="91"/>
      <c r="G50" s="28"/>
      <c r="H50" s="27"/>
      <c r="I50" s="28"/>
      <c r="J50" s="26"/>
      <c r="K50" s="82"/>
      <c r="L50" s="82"/>
    </row>
    <row r="51" spans="1:12" x14ac:dyDescent="0.2">
      <c r="A51" s="28"/>
      <c r="B51" s="40" t="s">
        <v>57</v>
      </c>
      <c r="C51" s="45">
        <v>0.1</v>
      </c>
      <c r="D51" t="str">
        <f>IF(B51="Acute: LC50 (dust/mist/aerosol) =","mg/l/4h",IF(B51="Acute: LC50 (vapor) =","mg/l/4h",IF(B51="Acute: LC50 (gas) =","ppmV")))</f>
        <v>mg/l/4h</v>
      </c>
      <c r="F51" t="s">
        <v>58</v>
      </c>
      <c r="G51" s="28"/>
      <c r="H51" s="27" t="s">
        <v>32</v>
      </c>
      <c r="I51" s="28" t="s">
        <v>33</v>
      </c>
      <c r="J51" s="26"/>
      <c r="K51" s="82"/>
      <c r="L51" s="82"/>
    </row>
    <row r="52" spans="1:12" x14ac:dyDescent="0.2">
      <c r="A52" s="28"/>
      <c r="B52" s="40" t="s">
        <v>59</v>
      </c>
      <c r="C52" s="45">
        <v>1.6</v>
      </c>
      <c r="D52" t="str">
        <f>IF(B52="Acute: LC50 (dust/mist/aerosol) =","mg/l/4h",IF(B52="Acute: LC50 (vapor) =","mg/l/4h",IF(B52="Acute: LC50 (gas) =","ppmV")))</f>
        <v>mg/l/4h</v>
      </c>
      <c r="F52" t="s">
        <v>60</v>
      </c>
      <c r="G52" s="28"/>
      <c r="H52" t="s">
        <v>61</v>
      </c>
      <c r="I52" s="28" t="s">
        <v>33</v>
      </c>
      <c r="J52" s="26"/>
      <c r="K52" s="82"/>
      <c r="L52" s="82"/>
    </row>
    <row r="53" spans="1:12" x14ac:dyDescent="0.2">
      <c r="A53" s="28"/>
      <c r="B53" s="40" t="s">
        <v>62</v>
      </c>
      <c r="C53" s="45"/>
      <c r="D53" t="str">
        <f>IF(B53="Chronic: LOAEL (dust/mist/aerosol) =","mg/l/6h/d",IF(B53="Chronic: LOAEL (vapor) =","mg/l/6h/d",IF(B53="Chronic: LOAEL (gas) =","ppmV/6h/d")))</f>
        <v>mg/l/6h/d</v>
      </c>
      <c r="G53" s="28"/>
      <c r="I53" s="28"/>
      <c r="J53" s="26"/>
      <c r="K53" s="82"/>
      <c r="L53" s="82"/>
    </row>
    <row r="54" spans="1:12" x14ac:dyDescent="0.2">
      <c r="A54" s="28"/>
      <c r="G54" s="28"/>
      <c r="I54" s="28"/>
      <c r="J54" s="26"/>
      <c r="K54" s="82"/>
      <c r="L54" s="82"/>
    </row>
    <row r="55" spans="1:12" ht="8" customHeight="1" x14ac:dyDescent="0.2">
      <c r="A55" s="29"/>
      <c r="B55" s="35"/>
      <c r="C55" s="30"/>
      <c r="D55" s="30"/>
      <c r="E55" s="30"/>
      <c r="F55" s="30"/>
      <c r="G55" s="31"/>
      <c r="H55" s="34"/>
      <c r="I55" s="31"/>
      <c r="J55" s="29"/>
      <c r="K55" s="42"/>
      <c r="L55" s="39"/>
    </row>
    <row r="56" spans="1:12" x14ac:dyDescent="0.2">
      <c r="A56" s="28" t="s">
        <v>63</v>
      </c>
      <c r="B56" s="6" t="s">
        <v>64</v>
      </c>
      <c r="C56" s="89" t="s">
        <v>46</v>
      </c>
      <c r="D56" s="90"/>
      <c r="E56" s="90"/>
      <c r="F56" s="91"/>
      <c r="G56" s="28"/>
      <c r="I56" s="28"/>
      <c r="J56" s="26"/>
      <c r="K56" s="95"/>
      <c r="L56" s="82"/>
    </row>
    <row r="57" spans="1:12" x14ac:dyDescent="0.2">
      <c r="A57" s="28"/>
      <c r="B57" s="6" t="s">
        <v>47</v>
      </c>
      <c r="C57" s="89" t="s">
        <v>48</v>
      </c>
      <c r="D57" s="90"/>
      <c r="E57" s="90"/>
      <c r="F57" s="91"/>
      <c r="G57" s="28"/>
      <c r="I57" s="28"/>
      <c r="J57" s="26"/>
      <c r="K57" s="95"/>
      <c r="L57" s="82"/>
    </row>
    <row r="58" spans="1:12" x14ac:dyDescent="0.2">
      <c r="A58" s="28"/>
      <c r="B58" s="6" t="s">
        <v>49</v>
      </c>
      <c r="C58" s="45">
        <v>2000</v>
      </c>
      <c r="D58" t="s">
        <v>65</v>
      </c>
      <c r="G58" s="28"/>
      <c r="H58" t="s">
        <v>66</v>
      </c>
      <c r="I58" s="28" t="s">
        <v>33</v>
      </c>
      <c r="J58" s="26"/>
      <c r="K58" s="95"/>
      <c r="L58" s="82"/>
    </row>
    <row r="59" spans="1:12" x14ac:dyDescent="0.2">
      <c r="B59" s="44" t="s">
        <v>52</v>
      </c>
      <c r="C59" s="45"/>
      <c r="D59" t="s">
        <v>53</v>
      </c>
      <c r="G59" s="28"/>
      <c r="I59" s="28"/>
      <c r="J59" s="26"/>
      <c r="K59" s="95"/>
      <c r="L59" s="82"/>
    </row>
    <row r="60" spans="1:12" x14ac:dyDescent="0.2">
      <c r="A60" s="28"/>
      <c r="B60" s="44"/>
      <c r="G60" s="28"/>
      <c r="I60" s="28"/>
      <c r="J60" s="26"/>
      <c r="K60" s="95"/>
      <c r="L60" s="82"/>
    </row>
    <row r="61" spans="1:12" ht="8" customHeight="1" x14ac:dyDescent="0.2">
      <c r="A61" s="29"/>
      <c r="B61" s="35"/>
      <c r="C61" s="30"/>
      <c r="D61" s="30"/>
      <c r="E61" s="30"/>
      <c r="F61" s="30"/>
      <c r="G61" s="31"/>
      <c r="H61" s="34"/>
      <c r="I61" s="31"/>
      <c r="J61" s="29"/>
      <c r="K61" s="42"/>
      <c r="L61" s="39"/>
    </row>
    <row r="62" spans="1:12" x14ac:dyDescent="0.2">
      <c r="A62" s="28" t="s">
        <v>67</v>
      </c>
      <c r="B62" s="6" t="s">
        <v>68</v>
      </c>
      <c r="C62" s="89" t="s">
        <v>69</v>
      </c>
      <c r="D62" s="90"/>
      <c r="E62" s="90"/>
      <c r="F62" s="91"/>
      <c r="G62" s="28"/>
      <c r="H62" t="s">
        <v>70</v>
      </c>
      <c r="I62" s="28" t="s">
        <v>33</v>
      </c>
      <c r="J62" s="26"/>
      <c r="K62" s="95"/>
      <c r="L62" s="82"/>
    </row>
    <row r="63" spans="1:12" x14ac:dyDescent="0.2">
      <c r="A63" s="28"/>
      <c r="B63" s="6" t="s">
        <v>71</v>
      </c>
      <c r="C63" s="89" t="s">
        <v>69</v>
      </c>
      <c r="D63" s="90"/>
      <c r="E63" s="90"/>
      <c r="F63" s="91"/>
      <c r="G63" s="28"/>
      <c r="H63" s="27" t="s">
        <v>72</v>
      </c>
      <c r="I63" s="28" t="s">
        <v>33</v>
      </c>
      <c r="J63" s="26"/>
      <c r="K63" s="95"/>
      <c r="L63" s="82"/>
    </row>
    <row r="64" spans="1:12" x14ac:dyDescent="0.2">
      <c r="A64" s="28"/>
      <c r="B64" s="6" t="s">
        <v>73</v>
      </c>
      <c r="C64" s="89" t="s">
        <v>74</v>
      </c>
      <c r="D64" s="90"/>
      <c r="E64" s="90"/>
      <c r="F64" s="91"/>
      <c r="G64" s="28"/>
      <c r="I64" s="28"/>
      <c r="J64" s="26"/>
      <c r="K64" s="95"/>
      <c r="L64" s="82"/>
    </row>
    <row r="65" spans="1:12" x14ac:dyDescent="0.2">
      <c r="A65" s="28"/>
      <c r="B65" s="6" t="str">
        <f>IF(AND(C62="No data",C63="No data",C64="No data"),"No studies available: pH =","")</f>
        <v/>
      </c>
      <c r="C65" s="46"/>
      <c r="G65" s="28"/>
      <c r="I65" s="28"/>
      <c r="J65" s="26"/>
      <c r="K65" s="95"/>
      <c r="L65" s="82"/>
    </row>
    <row r="66" spans="1:12" x14ac:dyDescent="0.2">
      <c r="A66" s="28"/>
      <c r="G66" s="28"/>
      <c r="I66" s="28"/>
      <c r="J66" s="26"/>
      <c r="K66" s="95"/>
      <c r="L66" s="82"/>
    </row>
    <row r="67" spans="1:12" ht="8" customHeight="1" x14ac:dyDescent="0.2">
      <c r="A67" s="29"/>
      <c r="B67" s="35"/>
      <c r="C67" s="30"/>
      <c r="D67" s="30"/>
      <c r="E67" s="30"/>
      <c r="F67" s="30"/>
      <c r="G67" s="31"/>
      <c r="H67" s="34"/>
      <c r="I67" s="31"/>
      <c r="J67" s="29"/>
      <c r="K67" s="42"/>
      <c r="L67" s="39"/>
    </row>
    <row r="68" spans="1:12" x14ac:dyDescent="0.2">
      <c r="A68" s="28" t="s">
        <v>75</v>
      </c>
      <c r="B68" s="6" t="s">
        <v>68</v>
      </c>
      <c r="C68" s="89" t="s">
        <v>76</v>
      </c>
      <c r="D68" s="90"/>
      <c r="E68" s="90"/>
      <c r="F68" s="91"/>
      <c r="G68" s="28"/>
      <c r="H68" t="s">
        <v>51</v>
      </c>
      <c r="I68" s="28" t="s">
        <v>33</v>
      </c>
      <c r="J68" s="26"/>
      <c r="K68" s="104"/>
      <c r="L68" s="82"/>
    </row>
    <row r="69" spans="1:12" ht="16" customHeight="1" x14ac:dyDescent="0.2">
      <c r="A69" s="28"/>
      <c r="B69" s="6" t="s">
        <v>77</v>
      </c>
      <c r="C69" s="99"/>
      <c r="D69" s="100"/>
      <c r="E69" s="100"/>
      <c r="F69" s="101"/>
      <c r="G69" s="28"/>
      <c r="I69" s="28"/>
      <c r="J69" s="26"/>
      <c r="K69" s="104"/>
      <c r="L69" s="82"/>
    </row>
    <row r="70" spans="1:12" x14ac:dyDescent="0.2">
      <c r="A70" s="28"/>
      <c r="G70" s="28"/>
      <c r="I70" s="28"/>
      <c r="J70" s="26"/>
      <c r="K70" s="104"/>
      <c r="L70" s="82"/>
    </row>
    <row r="71" spans="1:12" ht="8" customHeight="1" x14ac:dyDescent="0.2">
      <c r="A71" s="29"/>
      <c r="B71" s="35"/>
      <c r="C71" s="30"/>
      <c r="D71" s="30"/>
      <c r="E71" s="30"/>
      <c r="F71" s="30"/>
      <c r="G71" s="31"/>
      <c r="H71" s="34"/>
      <c r="I71" s="31"/>
      <c r="J71" s="29"/>
      <c r="K71" s="42"/>
      <c r="L71" s="39"/>
    </row>
    <row r="72" spans="1:12" x14ac:dyDescent="0.2">
      <c r="A72" s="28" t="s">
        <v>78</v>
      </c>
      <c r="G72" s="28"/>
      <c r="I72" s="28"/>
      <c r="J72" s="26"/>
      <c r="K72" s="93"/>
      <c r="L72" s="82"/>
    </row>
    <row r="73" spans="1:12" x14ac:dyDescent="0.2">
      <c r="A73" s="47"/>
      <c r="B73" s="48"/>
      <c r="C73" s="49"/>
      <c r="D73" s="49"/>
      <c r="E73" s="49"/>
      <c r="F73" s="49"/>
      <c r="G73" s="47"/>
      <c r="H73" s="49"/>
      <c r="I73" s="47"/>
      <c r="J73" s="50"/>
      <c r="K73" s="97"/>
      <c r="L73" s="98"/>
    </row>
    <row r="74" spans="1:12" x14ac:dyDescent="0.2">
      <c r="A74" s="51"/>
      <c r="H74" s="51"/>
      <c r="J74" s="51"/>
      <c r="K74" s="51"/>
      <c r="L74" s="52"/>
    </row>
    <row r="75" spans="1:12" x14ac:dyDescent="0.2">
      <c r="A75" s="15" t="s">
        <v>17</v>
      </c>
      <c r="B75" s="53" t="s">
        <v>18</v>
      </c>
      <c r="C75" s="54"/>
      <c r="D75" s="54"/>
      <c r="E75" s="54"/>
      <c r="F75" s="54"/>
      <c r="G75" s="55"/>
      <c r="H75" s="87" t="s">
        <v>19</v>
      </c>
      <c r="I75" s="88"/>
      <c r="J75" s="15"/>
      <c r="K75" s="16" t="s">
        <v>79</v>
      </c>
      <c r="L75" s="15" t="s">
        <v>79</v>
      </c>
    </row>
    <row r="76" spans="1:12" x14ac:dyDescent="0.2">
      <c r="A76" s="56" t="s">
        <v>80</v>
      </c>
      <c r="B76" s="57"/>
      <c r="C76" s="58"/>
      <c r="D76" s="58"/>
      <c r="E76" s="58"/>
      <c r="F76" s="58"/>
      <c r="G76" s="59"/>
      <c r="H76" s="60"/>
      <c r="I76" s="59"/>
      <c r="J76" s="56"/>
      <c r="K76" s="59"/>
      <c r="L76" s="59"/>
    </row>
    <row r="77" spans="1:12" ht="16" customHeight="1" x14ac:dyDescent="0.2">
      <c r="A77" s="28" t="s">
        <v>81</v>
      </c>
      <c r="B77" s="6" t="s">
        <v>55</v>
      </c>
      <c r="C77" s="99" t="s">
        <v>82</v>
      </c>
      <c r="D77" s="100"/>
      <c r="E77" s="100"/>
      <c r="F77" s="101"/>
      <c r="G77" s="28"/>
      <c r="I77" s="28"/>
      <c r="J77" s="26"/>
      <c r="K77" s="102"/>
      <c r="L77" s="103"/>
    </row>
    <row r="78" spans="1:12" x14ac:dyDescent="0.2">
      <c r="A78" s="28"/>
      <c r="B78" s="6" t="s">
        <v>83</v>
      </c>
      <c r="C78" s="45">
        <v>0.876</v>
      </c>
      <c r="D78" t="s">
        <v>84</v>
      </c>
      <c r="G78" s="28"/>
      <c r="H78" s="61" t="s">
        <v>85</v>
      </c>
      <c r="I78" s="28" t="s">
        <v>33</v>
      </c>
      <c r="J78" s="26"/>
      <c r="K78" s="95"/>
      <c r="L78" s="82"/>
    </row>
    <row r="79" spans="1:12" x14ac:dyDescent="0.2">
      <c r="A79" s="28"/>
      <c r="B79" s="6" t="s">
        <v>86</v>
      </c>
      <c r="C79" s="45"/>
      <c r="D79" t="s">
        <v>84</v>
      </c>
      <c r="G79" s="28"/>
      <c r="I79" s="28"/>
      <c r="J79" s="26"/>
      <c r="K79" s="95"/>
      <c r="L79" s="82"/>
    </row>
    <row r="80" spans="1:12" x14ac:dyDescent="0.2">
      <c r="A80" s="28"/>
      <c r="G80" s="28"/>
      <c r="I80" s="28"/>
      <c r="J80" s="26"/>
      <c r="K80" s="95"/>
      <c r="L80" s="82"/>
    </row>
    <row r="81" spans="1:12" ht="8" customHeight="1" x14ac:dyDescent="0.2">
      <c r="A81" s="29"/>
      <c r="B81" s="35"/>
      <c r="C81" s="30"/>
      <c r="D81" s="30"/>
      <c r="E81" s="30"/>
      <c r="F81" s="30"/>
      <c r="G81" s="31"/>
      <c r="H81" s="34"/>
      <c r="I81" s="31"/>
      <c r="J81" s="29"/>
      <c r="K81" s="42"/>
      <c r="L81" s="39"/>
    </row>
    <row r="82" spans="1:12" ht="16" customHeight="1" x14ac:dyDescent="0.2">
      <c r="A82" s="28" t="s">
        <v>87</v>
      </c>
      <c r="B82" s="6" t="s">
        <v>55</v>
      </c>
      <c r="C82" s="99" t="str">
        <f>C77</f>
        <v>Not Classified</v>
      </c>
      <c r="D82" s="100"/>
      <c r="E82" s="100"/>
      <c r="F82" s="101"/>
      <c r="G82" s="28"/>
      <c r="I82" s="28"/>
      <c r="J82" s="26"/>
      <c r="K82" s="102"/>
      <c r="L82" s="82"/>
    </row>
    <row r="83" spans="1:12" x14ac:dyDescent="0.2">
      <c r="A83" s="28"/>
      <c r="B83" s="6" t="s">
        <v>88</v>
      </c>
      <c r="C83" s="45">
        <v>2.7</v>
      </c>
      <c r="D83" t="s">
        <v>84</v>
      </c>
      <c r="G83" s="28"/>
      <c r="H83" t="s">
        <v>32</v>
      </c>
      <c r="I83" s="28" t="s">
        <v>33</v>
      </c>
      <c r="J83" s="26"/>
      <c r="K83" s="95"/>
      <c r="L83" s="82"/>
    </row>
    <row r="84" spans="1:12" x14ac:dyDescent="0.2">
      <c r="A84" s="28"/>
      <c r="B84" s="6" t="s">
        <v>86</v>
      </c>
      <c r="C84" s="45"/>
      <c r="D84" t="s">
        <v>84</v>
      </c>
      <c r="G84" s="28"/>
      <c r="H84" s="61"/>
      <c r="I84" s="28"/>
      <c r="J84" s="26"/>
      <c r="K84" s="95"/>
      <c r="L84" s="82"/>
    </row>
    <row r="85" spans="1:12" x14ac:dyDescent="0.2">
      <c r="A85" s="28"/>
      <c r="G85" s="28"/>
      <c r="H85" s="61"/>
      <c r="I85" s="28"/>
      <c r="J85" s="26"/>
      <c r="K85" s="95"/>
      <c r="L85" s="82"/>
    </row>
    <row r="86" spans="1:12" ht="8" customHeight="1" x14ac:dyDescent="0.2">
      <c r="A86" s="29"/>
      <c r="B86" s="35"/>
      <c r="C86" s="30"/>
      <c r="D86" s="30"/>
      <c r="E86" s="30"/>
      <c r="F86" s="30"/>
      <c r="G86" s="31"/>
      <c r="H86" s="34"/>
      <c r="I86" s="31"/>
      <c r="J86" s="29"/>
      <c r="K86" s="42"/>
      <c r="L86" s="39"/>
    </row>
    <row r="87" spans="1:12" ht="16" customHeight="1" x14ac:dyDescent="0.2">
      <c r="A87" s="28" t="s">
        <v>89</v>
      </c>
      <c r="B87" s="6" t="s">
        <v>55</v>
      </c>
      <c r="C87" s="99" t="str">
        <f>C77</f>
        <v>Not Classified</v>
      </c>
      <c r="D87" s="100"/>
      <c r="E87" s="100"/>
      <c r="F87" s="101"/>
      <c r="G87" s="28"/>
      <c r="I87" s="28"/>
      <c r="J87" s="26"/>
      <c r="K87" s="102"/>
      <c r="L87" s="82"/>
    </row>
    <row r="88" spans="1:12" x14ac:dyDescent="0.2">
      <c r="A88" s="28"/>
      <c r="B88" s="6" t="s">
        <v>90</v>
      </c>
      <c r="C88" s="62">
        <v>0.71399999999999997</v>
      </c>
      <c r="D88" t="s">
        <v>84</v>
      </c>
      <c r="G88" s="28"/>
      <c r="H88" t="s">
        <v>32</v>
      </c>
      <c r="I88" s="28"/>
      <c r="J88" s="28"/>
      <c r="K88" s="95"/>
      <c r="L88" s="82"/>
    </row>
    <row r="89" spans="1:12" x14ac:dyDescent="0.2">
      <c r="A89" s="28"/>
      <c r="B89" s="6" t="s">
        <v>86</v>
      </c>
      <c r="C89" s="45"/>
      <c r="D89" t="s">
        <v>84</v>
      </c>
      <c r="G89" s="28"/>
      <c r="H89" s="61"/>
      <c r="I89" s="28"/>
      <c r="J89" s="28"/>
      <c r="K89" s="95"/>
      <c r="L89" s="82"/>
    </row>
    <row r="90" spans="1:12" x14ac:dyDescent="0.2">
      <c r="A90" s="28"/>
      <c r="G90" s="28"/>
      <c r="H90" s="61"/>
      <c r="I90" s="28"/>
      <c r="J90" s="28"/>
      <c r="K90" s="95"/>
      <c r="L90" s="82"/>
    </row>
    <row r="91" spans="1:12" ht="8" customHeight="1" x14ac:dyDescent="0.2">
      <c r="A91" s="29"/>
      <c r="B91" s="35"/>
      <c r="C91" s="30"/>
      <c r="D91" s="30"/>
      <c r="E91" s="30"/>
      <c r="F91" s="30"/>
      <c r="G91" s="31"/>
      <c r="H91" s="34"/>
      <c r="I91" s="31"/>
      <c r="J91" s="29"/>
      <c r="K91" s="42"/>
      <c r="L91" s="39"/>
    </row>
    <row r="92" spans="1:12" x14ac:dyDescent="0.2">
      <c r="A92" s="28" t="s">
        <v>91</v>
      </c>
      <c r="G92" s="28"/>
      <c r="I92" s="28"/>
      <c r="J92" s="28"/>
      <c r="K92" s="93"/>
      <c r="L92" s="82"/>
    </row>
    <row r="93" spans="1:12" x14ac:dyDescent="0.2">
      <c r="A93" s="28"/>
      <c r="G93" s="28"/>
      <c r="I93" s="28"/>
      <c r="J93" s="28"/>
      <c r="K93" s="93"/>
      <c r="L93" s="82"/>
    </row>
    <row r="94" spans="1:12" ht="6" customHeight="1" x14ac:dyDescent="0.2">
      <c r="A94" s="29"/>
      <c r="B94" s="35"/>
      <c r="C94" s="30"/>
      <c r="D94" s="30"/>
      <c r="E94" s="30"/>
      <c r="F94" s="30"/>
      <c r="G94" s="31"/>
      <c r="H94" s="34"/>
      <c r="I94" s="31"/>
      <c r="J94" s="29"/>
      <c r="K94" s="42"/>
      <c r="L94" s="39"/>
    </row>
    <row r="95" spans="1:12" x14ac:dyDescent="0.2">
      <c r="A95" s="28" t="s">
        <v>92</v>
      </c>
      <c r="G95" s="28"/>
      <c r="I95" s="28"/>
      <c r="J95" s="28"/>
      <c r="K95" s="93"/>
      <c r="L95" s="82"/>
    </row>
    <row r="96" spans="1:12" x14ac:dyDescent="0.2">
      <c r="A96" s="28"/>
      <c r="G96" s="28"/>
      <c r="I96" s="28"/>
      <c r="J96" s="28"/>
      <c r="K96" s="93"/>
      <c r="L96" s="82"/>
    </row>
    <row r="97" spans="1:12" ht="8" customHeight="1" x14ac:dyDescent="0.2">
      <c r="A97" s="29"/>
      <c r="B97" s="35"/>
      <c r="C97" s="30"/>
      <c r="D97" s="30"/>
      <c r="E97" s="30"/>
      <c r="F97" s="30"/>
      <c r="G97" s="31"/>
      <c r="H97" s="34"/>
      <c r="I97" s="31"/>
      <c r="J97" s="29"/>
      <c r="K97" s="42"/>
      <c r="L97" s="39"/>
    </row>
    <row r="98" spans="1:12" x14ac:dyDescent="0.2">
      <c r="A98" s="28" t="s">
        <v>93</v>
      </c>
      <c r="B98" s="6" t="s">
        <v>94</v>
      </c>
      <c r="C98" s="45">
        <v>387.5</v>
      </c>
      <c r="D98" t="s">
        <v>95</v>
      </c>
      <c r="F98" t="s">
        <v>96</v>
      </c>
      <c r="G98" s="28"/>
      <c r="I98" s="28"/>
      <c r="J98" s="28"/>
      <c r="K98" s="95"/>
      <c r="L98" s="82"/>
    </row>
    <row r="99" spans="1:12" x14ac:dyDescent="0.2">
      <c r="A99" s="28"/>
      <c r="B99" s="6" t="s">
        <v>97</v>
      </c>
      <c r="C99" s="45">
        <v>5.16</v>
      </c>
      <c r="G99" s="28"/>
      <c r="I99" s="28"/>
      <c r="J99" s="28"/>
      <c r="K99" s="95"/>
      <c r="L99" s="82"/>
    </row>
    <row r="100" spans="1:12" x14ac:dyDescent="0.2">
      <c r="A100" s="28"/>
      <c r="B100" s="6" t="s">
        <v>98</v>
      </c>
      <c r="C100" s="45"/>
      <c r="D100" t="s">
        <v>99</v>
      </c>
      <c r="G100" s="28"/>
      <c r="I100" s="28"/>
      <c r="J100" s="28"/>
      <c r="K100" s="95"/>
      <c r="L100" s="82"/>
    </row>
    <row r="101" spans="1:12" x14ac:dyDescent="0.2">
      <c r="A101" s="28"/>
      <c r="G101" s="28"/>
      <c r="I101" s="28"/>
      <c r="J101" s="28"/>
      <c r="K101" s="95"/>
      <c r="L101" s="82"/>
    </row>
    <row r="102" spans="1:12" ht="8" customHeight="1" x14ac:dyDescent="0.2">
      <c r="A102" s="29"/>
      <c r="B102" s="35"/>
      <c r="C102" s="30"/>
      <c r="D102" s="30"/>
      <c r="E102" s="30"/>
      <c r="F102" s="30"/>
      <c r="G102" s="31"/>
      <c r="H102" s="34"/>
      <c r="I102" s="31"/>
      <c r="J102" s="29"/>
      <c r="K102" s="42"/>
      <c r="L102" s="39"/>
    </row>
    <row r="103" spans="1:12" x14ac:dyDescent="0.2">
      <c r="A103" s="28" t="s">
        <v>100</v>
      </c>
      <c r="B103" s="89" t="s">
        <v>101</v>
      </c>
      <c r="C103" s="91"/>
      <c r="D103" s="45">
        <v>95</v>
      </c>
      <c r="E103" t="str">
        <f>IF(B103="% ThOD biodegradation after 28 days:","% degradation (ThOD)",IF(B103="% DOC biodegradation after 28 days:","% degradation (DOC)",IF(B103="Substance is inherently biodegradable","","Assess manually")))</f>
        <v>% degradation (DOC)</v>
      </c>
      <c r="G103" s="28"/>
      <c r="H103" t="s">
        <v>102</v>
      </c>
      <c r="I103" s="28"/>
      <c r="J103" s="28"/>
      <c r="K103" s="95"/>
      <c r="L103" s="82"/>
    </row>
    <row r="104" spans="1:12" x14ac:dyDescent="0.2">
      <c r="A104" s="28"/>
      <c r="B104"/>
      <c r="G104" s="28"/>
      <c r="I104" s="28"/>
      <c r="J104" s="28"/>
      <c r="K104" s="95"/>
      <c r="L104" s="82"/>
    </row>
    <row r="105" spans="1:12" ht="8" customHeight="1" x14ac:dyDescent="0.2">
      <c r="A105" s="29"/>
      <c r="B105" s="35"/>
      <c r="C105" s="30"/>
      <c r="D105" s="30"/>
      <c r="E105" s="30"/>
      <c r="F105" s="30"/>
      <c r="G105" s="31"/>
      <c r="H105" s="34"/>
      <c r="I105" s="31"/>
      <c r="J105" s="29"/>
      <c r="K105" s="42"/>
      <c r="L105" s="39"/>
    </row>
    <row r="106" spans="1:12" ht="15" customHeight="1" x14ac:dyDescent="0.2">
      <c r="A106" s="28" t="s">
        <v>103</v>
      </c>
      <c r="G106" s="28"/>
      <c r="I106" s="28"/>
      <c r="J106" s="28"/>
      <c r="K106" s="115"/>
      <c r="L106" s="82"/>
    </row>
    <row r="107" spans="1:12" x14ac:dyDescent="0.2">
      <c r="A107" s="28"/>
      <c r="G107" s="28"/>
      <c r="I107" s="28"/>
      <c r="J107" s="28"/>
      <c r="K107" s="115"/>
      <c r="L107" s="82"/>
    </row>
    <row r="108" spans="1:12" ht="8" customHeight="1" x14ac:dyDescent="0.2">
      <c r="A108" s="29"/>
      <c r="B108" s="35"/>
      <c r="C108" s="30"/>
      <c r="D108" s="30"/>
      <c r="E108" s="30"/>
      <c r="F108" s="30"/>
      <c r="G108" s="31"/>
      <c r="H108" s="34"/>
      <c r="I108" s="31"/>
      <c r="J108" s="29"/>
      <c r="K108" s="42"/>
      <c r="L108" s="39"/>
    </row>
    <row r="109" spans="1:12" x14ac:dyDescent="0.2">
      <c r="A109" s="28" t="s">
        <v>78</v>
      </c>
      <c r="G109" s="28"/>
      <c r="I109" s="28"/>
      <c r="J109" s="28"/>
      <c r="K109" s="93"/>
      <c r="L109" s="82"/>
    </row>
    <row r="110" spans="1:12" x14ac:dyDescent="0.2">
      <c r="A110" s="28"/>
      <c r="G110" s="28"/>
      <c r="I110" s="28"/>
      <c r="J110" s="28"/>
      <c r="K110" s="97"/>
      <c r="L110" s="98"/>
    </row>
    <row r="111" spans="1:12" x14ac:dyDescent="0.2">
      <c r="A111" s="56" t="s">
        <v>104</v>
      </c>
      <c r="B111" s="63"/>
      <c r="C111" s="58"/>
      <c r="D111" s="58"/>
      <c r="E111" s="58"/>
      <c r="F111" s="58"/>
      <c r="G111" s="59"/>
      <c r="H111" s="60"/>
      <c r="I111" s="59"/>
      <c r="J111" s="59"/>
      <c r="K111" s="64"/>
      <c r="L111" s="59"/>
    </row>
    <row r="112" spans="1:12" x14ac:dyDescent="0.2">
      <c r="A112" s="28" t="s">
        <v>105</v>
      </c>
      <c r="B112"/>
      <c r="G112" s="28"/>
      <c r="I112" s="28"/>
      <c r="J112" s="28"/>
      <c r="K112" s="105" t="s">
        <v>106</v>
      </c>
      <c r="L112" s="106"/>
    </row>
    <row r="113" spans="1:12" x14ac:dyDescent="0.2">
      <c r="A113" s="28"/>
      <c r="B113"/>
      <c r="G113" s="28"/>
      <c r="I113" s="28"/>
      <c r="J113" s="28"/>
      <c r="K113" s="107"/>
      <c r="L113" s="108"/>
    </row>
    <row r="114" spans="1:12" ht="4" customHeight="1" x14ac:dyDescent="0.2">
      <c r="A114" s="29"/>
      <c r="B114" s="35"/>
      <c r="C114" s="30"/>
      <c r="D114" s="30"/>
      <c r="E114" s="30"/>
      <c r="F114" s="30"/>
      <c r="G114" s="31"/>
      <c r="H114" s="34"/>
      <c r="I114" s="31"/>
      <c r="J114" s="29"/>
      <c r="K114" s="65"/>
      <c r="L114" s="66"/>
    </row>
    <row r="115" spans="1:12" x14ac:dyDescent="0.2">
      <c r="A115" s="26" t="s">
        <v>107</v>
      </c>
      <c r="G115" s="28"/>
      <c r="I115" s="28"/>
      <c r="J115" s="28"/>
      <c r="K115" s="105" t="s">
        <v>106</v>
      </c>
      <c r="L115" s="106"/>
    </row>
    <row r="116" spans="1:12" ht="17" thickBot="1" x14ac:dyDescent="0.25">
      <c r="A116" s="50"/>
      <c r="B116" s="48"/>
      <c r="C116" s="49"/>
      <c r="D116" s="49"/>
      <c r="E116" s="49"/>
      <c r="F116" s="49"/>
      <c r="G116" s="47"/>
      <c r="H116" s="49"/>
      <c r="I116" s="47"/>
      <c r="J116" s="28"/>
      <c r="K116" s="109"/>
      <c r="L116" s="110"/>
    </row>
    <row r="117" spans="1:12" x14ac:dyDescent="0.2">
      <c r="J117" s="67" t="s">
        <v>108</v>
      </c>
      <c r="K117" s="68"/>
      <c r="L117" s="111" t="s">
        <v>106</v>
      </c>
    </row>
    <row r="118" spans="1:12" x14ac:dyDescent="0.2">
      <c r="J118" s="69"/>
      <c r="K118" s="47"/>
      <c r="L118" s="112"/>
    </row>
    <row r="119" spans="1:12" x14ac:dyDescent="0.2">
      <c r="J119" s="70" t="s">
        <v>109</v>
      </c>
      <c r="K119" s="25"/>
      <c r="L119" s="113"/>
    </row>
    <row r="120" spans="1:12" ht="17" thickBot="1" x14ac:dyDescent="0.25">
      <c r="J120" s="71"/>
      <c r="K120" s="72"/>
      <c r="L120" s="114"/>
    </row>
    <row r="122" spans="1:12" x14ac:dyDescent="0.2">
      <c r="A122" s="56" t="s">
        <v>110</v>
      </c>
      <c r="B122" s="57"/>
      <c r="C122" s="58"/>
      <c r="D122" s="58"/>
      <c r="E122" s="58"/>
      <c r="F122" s="58"/>
      <c r="G122" s="58"/>
      <c r="H122" s="58"/>
      <c r="I122" s="58"/>
      <c r="J122" s="58"/>
      <c r="K122" s="58"/>
      <c r="L122" s="59"/>
    </row>
    <row r="123" spans="1:12" x14ac:dyDescent="0.2">
      <c r="A123" s="23" t="s">
        <v>111</v>
      </c>
      <c r="B123" s="73"/>
      <c r="C123" s="74"/>
      <c r="D123" s="74"/>
      <c r="E123" s="74"/>
      <c r="F123" s="74"/>
      <c r="G123" s="74"/>
      <c r="H123" s="74"/>
      <c r="I123" s="74"/>
      <c r="J123" s="74"/>
      <c r="K123" s="74"/>
      <c r="L123" s="25"/>
    </row>
    <row r="124" spans="1:12" x14ac:dyDescent="0.2">
      <c r="A124" s="26" t="s">
        <v>112</v>
      </c>
      <c r="B124" s="44"/>
      <c r="L124" s="28"/>
    </row>
    <row r="125" spans="1:12" x14ac:dyDescent="0.2">
      <c r="A125" s="26" t="s">
        <v>113</v>
      </c>
      <c r="B125" s="44"/>
      <c r="L125" s="28"/>
    </row>
    <row r="126" spans="1:12" x14ac:dyDescent="0.2">
      <c r="A126" s="26" t="s">
        <v>114</v>
      </c>
      <c r="B126" s="44"/>
      <c r="L126" s="28"/>
    </row>
    <row r="127" spans="1:12" x14ac:dyDescent="0.2">
      <c r="A127" s="26" t="s">
        <v>115</v>
      </c>
      <c r="B127" s="44"/>
      <c r="L127" s="28"/>
    </row>
    <row r="128" spans="1:12" x14ac:dyDescent="0.2">
      <c r="A128" s="26" t="s">
        <v>116</v>
      </c>
      <c r="B128" s="44"/>
      <c r="L128" s="28"/>
    </row>
    <row r="129" spans="1:12" x14ac:dyDescent="0.2">
      <c r="A129" s="50" t="s">
        <v>117</v>
      </c>
      <c r="B129" s="75"/>
      <c r="C129" s="49"/>
      <c r="D129" s="49"/>
      <c r="E129" s="49"/>
      <c r="F129" s="49"/>
      <c r="G129" s="49"/>
      <c r="H129" s="49"/>
      <c r="I129" s="49"/>
      <c r="J129" s="49"/>
      <c r="K129" s="49"/>
      <c r="L129" s="47"/>
    </row>
    <row r="133" spans="1:12" x14ac:dyDescent="0.2">
      <c r="A133" s="28" t="s">
        <v>118</v>
      </c>
      <c r="B133" s="76" t="s">
        <v>119</v>
      </c>
    </row>
    <row r="134" spans="1:12" x14ac:dyDescent="0.2">
      <c r="B134" s="77" t="s">
        <v>120</v>
      </c>
      <c r="D134" s="78"/>
    </row>
    <row r="135" spans="1:12" x14ac:dyDescent="0.2">
      <c r="B135" s="79" t="s">
        <v>121</v>
      </c>
      <c r="C135" s="80"/>
      <c r="D135" s="80"/>
      <c r="E135" s="80"/>
      <c r="F135" s="81"/>
    </row>
    <row r="136" spans="1:12" x14ac:dyDescent="0.2">
      <c r="B136" s="77" t="s">
        <v>122</v>
      </c>
    </row>
    <row r="137" spans="1:12" x14ac:dyDescent="0.2">
      <c r="B137" s="77" t="s">
        <v>123</v>
      </c>
      <c r="E137" t="s">
        <v>124</v>
      </c>
    </row>
    <row r="138" spans="1:12" x14ac:dyDescent="0.2">
      <c r="B138" s="79" t="s">
        <v>125</v>
      </c>
      <c r="C138" s="80"/>
      <c r="D138" s="80"/>
      <c r="E138" s="80" t="s">
        <v>126</v>
      </c>
      <c r="F138" s="81"/>
    </row>
    <row r="139" spans="1:12" x14ac:dyDescent="0.2">
      <c r="B139" s="77" t="s">
        <v>127</v>
      </c>
      <c r="E139" t="s">
        <v>124</v>
      </c>
    </row>
    <row r="140" spans="1:12" x14ac:dyDescent="0.2">
      <c r="B140" s="77" t="s">
        <v>128</v>
      </c>
    </row>
    <row r="141" spans="1:12" x14ac:dyDescent="0.2">
      <c r="B141" s="77" t="s">
        <v>129</v>
      </c>
    </row>
    <row r="142" spans="1:12" x14ac:dyDescent="0.2">
      <c r="B142" s="77" t="s">
        <v>130</v>
      </c>
      <c r="E142" t="s">
        <v>124</v>
      </c>
    </row>
    <row r="143" spans="1:12" x14ac:dyDescent="0.2">
      <c r="B143" s="77" t="s">
        <v>131</v>
      </c>
    </row>
    <row r="144" spans="1:12" x14ac:dyDescent="0.2">
      <c r="B144" s="77" t="s">
        <v>132</v>
      </c>
    </row>
    <row r="145" spans="2:6" x14ac:dyDescent="0.2">
      <c r="B145" s="77" t="s">
        <v>133</v>
      </c>
      <c r="E145" t="s">
        <v>124</v>
      </c>
    </row>
    <row r="146" spans="2:6" x14ac:dyDescent="0.2">
      <c r="B146" s="77" t="s">
        <v>134</v>
      </c>
      <c r="E146" t="s">
        <v>124</v>
      </c>
    </row>
    <row r="147" spans="2:6" x14ac:dyDescent="0.2">
      <c r="B147" s="77" t="s">
        <v>135</v>
      </c>
      <c r="E147" t="s">
        <v>124</v>
      </c>
    </row>
    <row r="148" spans="2:6" x14ac:dyDescent="0.2">
      <c r="B148" s="77" t="s">
        <v>136</v>
      </c>
      <c r="E148" t="s">
        <v>124</v>
      </c>
    </row>
    <row r="149" spans="2:6" x14ac:dyDescent="0.2">
      <c r="B149" s="77" t="s">
        <v>137</v>
      </c>
    </row>
    <row r="150" spans="2:6" x14ac:dyDescent="0.2">
      <c r="B150" s="77" t="s">
        <v>138</v>
      </c>
      <c r="E150" t="s">
        <v>124</v>
      </c>
    </row>
    <row r="151" spans="2:6" x14ac:dyDescent="0.2">
      <c r="B151" s="77" t="s">
        <v>139</v>
      </c>
      <c r="E151" t="s">
        <v>124</v>
      </c>
    </row>
    <row r="152" spans="2:6" x14ac:dyDescent="0.2">
      <c r="B152" s="77" t="s">
        <v>140</v>
      </c>
      <c r="E152" t="s">
        <v>124</v>
      </c>
    </row>
    <row r="153" spans="2:6" x14ac:dyDescent="0.2">
      <c r="B153" s="79" t="s">
        <v>141</v>
      </c>
      <c r="C153" s="80"/>
      <c r="D153" s="80"/>
      <c r="E153" s="80"/>
      <c r="F153" s="81"/>
    </row>
    <row r="154" spans="2:6" x14ac:dyDescent="0.2">
      <c r="B154" s="6" t="s">
        <v>142</v>
      </c>
      <c r="E154" t="s">
        <v>143</v>
      </c>
    </row>
    <row r="156" spans="2:6" x14ac:dyDescent="0.2">
      <c r="B156" s="76" t="s">
        <v>144</v>
      </c>
    </row>
  </sheetData>
  <mergeCells count="74">
    <mergeCell ref="K112:L113"/>
    <mergeCell ref="K115:L116"/>
    <mergeCell ref="L117:L118"/>
    <mergeCell ref="L119:L120"/>
    <mergeCell ref="B103:C103"/>
    <mergeCell ref="K103:K104"/>
    <mergeCell ref="L103:L104"/>
    <mergeCell ref="K106:K107"/>
    <mergeCell ref="L106:L107"/>
    <mergeCell ref="K109:K110"/>
    <mergeCell ref="L109:L110"/>
    <mergeCell ref="K92:K93"/>
    <mergeCell ref="L92:L93"/>
    <mergeCell ref="K95:K96"/>
    <mergeCell ref="L95:L96"/>
    <mergeCell ref="K98:K101"/>
    <mergeCell ref="L98:L101"/>
    <mergeCell ref="C82:F82"/>
    <mergeCell ref="K82:K85"/>
    <mergeCell ref="L82:L85"/>
    <mergeCell ref="C87:F87"/>
    <mergeCell ref="K87:K90"/>
    <mergeCell ref="L87:L90"/>
    <mergeCell ref="H75:I75"/>
    <mergeCell ref="C77:F77"/>
    <mergeCell ref="K77:K80"/>
    <mergeCell ref="L77:L80"/>
    <mergeCell ref="C68:F68"/>
    <mergeCell ref="K68:K70"/>
    <mergeCell ref="L68:L70"/>
    <mergeCell ref="C69:F69"/>
    <mergeCell ref="C64:F64"/>
    <mergeCell ref="K72:K73"/>
    <mergeCell ref="L72:L73"/>
    <mergeCell ref="C62:F62"/>
    <mergeCell ref="K62:K66"/>
    <mergeCell ref="L62:L66"/>
    <mergeCell ref="C63:F63"/>
    <mergeCell ref="K40:K41"/>
    <mergeCell ref="L40:L41"/>
    <mergeCell ref="C43:F43"/>
    <mergeCell ref="K43:K47"/>
    <mergeCell ref="L43:L47"/>
    <mergeCell ref="C44:F44"/>
    <mergeCell ref="C49:F49"/>
    <mergeCell ref="K49:K54"/>
    <mergeCell ref="L49:L54"/>
    <mergeCell ref="C50:F50"/>
    <mergeCell ref="C56:F56"/>
    <mergeCell ref="K56:K60"/>
    <mergeCell ref="L56:L60"/>
    <mergeCell ref="C57:F57"/>
    <mergeCell ref="C32:F32"/>
    <mergeCell ref="K32:K34"/>
    <mergeCell ref="L32:L34"/>
    <mergeCell ref="C36:F36"/>
    <mergeCell ref="K36:K38"/>
    <mergeCell ref="L36:L38"/>
    <mergeCell ref="K21:K22"/>
    <mergeCell ref="L21:L22"/>
    <mergeCell ref="C24:F24"/>
    <mergeCell ref="K24:K30"/>
    <mergeCell ref="L24:L30"/>
    <mergeCell ref="C25:E25"/>
    <mergeCell ref="C26:E26"/>
    <mergeCell ref="C27:E27"/>
    <mergeCell ref="C28:E28"/>
    <mergeCell ref="C29:E29"/>
    <mergeCell ref="L18:L19"/>
    <mergeCell ref="B6:D7"/>
    <mergeCell ref="B16:G16"/>
    <mergeCell ref="H16:I16"/>
    <mergeCell ref="C18:F18"/>
    <mergeCell ref="K18:K19"/>
  </mergeCells>
  <conditionalFormatting sqref="C65">
    <cfRule type="expression" dxfId="319" priority="19">
      <formula>$B$65="No studies available: pH ="</formula>
    </cfRule>
  </conditionalFormatting>
  <conditionalFormatting sqref="K6">
    <cfRule type="expression" dxfId="318" priority="173">
      <formula>$K$6="Need QC"</formula>
    </cfRule>
    <cfRule type="expression" dxfId="317" priority="174">
      <formula>$K$6="Checked"</formula>
    </cfRule>
    <cfRule type="expression" dxfId="316" priority="175">
      <formula>$K$6="Not checked"</formula>
    </cfRule>
  </conditionalFormatting>
  <conditionalFormatting sqref="K18:K19">
    <cfRule type="expression" dxfId="315" priority="171">
      <formula>OR(C18="TLV A5",C18="IARC 4")</formula>
    </cfRule>
    <cfRule type="expression" dxfId="314" priority="168">
      <formula>OR(C18="TLV A1",C18="TLV A2",C18="TLV A3",C18="Carc. 1A: H350: May cause cancer",C18="Carc. 1B: H350: May cause cancer",C18="Carc. 2: H351: Suspected of causing cancer")</formula>
    </cfRule>
    <cfRule type="expression" dxfId="313" priority="172">
      <formula>OR(C18="IARC 3",C18="TLV A4")</formula>
    </cfRule>
    <cfRule type="expression" dxfId="312" priority="144">
      <formula>$K$18="Manually set to: Grey"</formula>
    </cfRule>
    <cfRule type="expression" dxfId="311" priority="151">
      <formula>$K$18="Manually set to: Red"</formula>
    </cfRule>
    <cfRule type="expression" dxfId="310" priority="152">
      <formula>$K$18="Manually set to: Yellow"</formula>
    </cfRule>
    <cfRule type="expression" dxfId="309" priority="153">
      <formula>$K$18="Manually set to: Green"</formula>
    </cfRule>
    <cfRule type="expression" dxfId="308" priority="170">
      <formula>OR(C18="MAK III 3A",C18="MAK III 4",C18="MAK III 5")</formula>
    </cfRule>
    <cfRule type="expression" dxfId="307" priority="169">
      <formula>OR(C18="MAK III 1",C18="MAK III 2",C18="MAK III 3B",C18="IARC 1",C18="IARC 2A",C18="IARC 2B")</formula>
    </cfRule>
  </conditionalFormatting>
  <conditionalFormatting sqref="K21:K22">
    <cfRule type="expression" dxfId="306" priority="148">
      <formula>$K$21="Manually set to: Green"</formula>
    </cfRule>
    <cfRule type="expression" dxfId="305" priority="150">
      <formula>$K$21="Manually set to: Red"</formula>
    </cfRule>
    <cfRule type="expression" dxfId="304" priority="149">
      <formula>$K$21="Manually set to: Yellow"</formula>
    </cfRule>
    <cfRule type="expression" dxfId="303" priority="143">
      <formula>$K$21="Manually set to: Grey"</formula>
    </cfRule>
  </conditionalFormatting>
  <conditionalFormatting sqref="K24">
    <cfRule type="expression" dxfId="302" priority="21">
      <formula>$K$24="Manually set to: Grey"</formula>
    </cfRule>
    <cfRule type="expression" dxfId="301" priority="22">
      <formula>$K$24="Manually set to: Red"</formula>
    </cfRule>
    <cfRule type="expression" dxfId="300" priority="23">
      <formula>$K$24="Manually set to: Yellow"</formula>
    </cfRule>
    <cfRule type="expression" dxfId="299" priority="24">
      <formula>$K$24="Manually set to: Green"</formula>
    </cfRule>
    <cfRule type="expression" dxfId="298" priority="25">
      <formula>OR($C$24="Muta. 1A: H340: May cause genetic defects",$C$24="Muta. 1B: H340: May cause genetic defects",$C$24="Muta. 2: H341: Suspected of causing genetic defects",$C$24="MAK IX 1",$C$24="MAK IX 2",$C$24="MAK IX 3A",$C$24="MAK IX 3B")</formula>
    </cfRule>
  </conditionalFormatting>
  <conditionalFormatting sqref="K32">
    <cfRule type="expression" dxfId="297" priority="167">
      <formula>AND($B$33="Inhalation NOAEL =",$C$33&lt;0.25,$C$33&gt;0)</formula>
    </cfRule>
    <cfRule type="expression" dxfId="296" priority="181">
      <formula>OR($C$32="Repr. 1A: H360: May damage fertility or the unborn child",$C$32="Repr. 1B: H360: May damage fertility or the unborn child",$C$32="Repr. 2: H361: Suspected of damaging fertility or the unborn child",$C$32="MAK A",$C$32="MAK B")</formula>
    </cfRule>
    <cfRule type="expression" dxfId="295" priority="180">
      <formula>$C$32="MAK C"</formula>
    </cfRule>
    <cfRule type="expression" dxfId="294" priority="179">
      <formula>AND($B$33="Oral NOAEL =",$C$33&lt;50,$C$33&gt;0)</formula>
    </cfRule>
    <cfRule type="expression" dxfId="293" priority="178">
      <formula>AND($B$33="Oral NOAEL =",$C$33&gt;=50,ISNUMBER($C$33))</formula>
    </cfRule>
    <cfRule type="expression" dxfId="292" priority="177">
      <formula>AND($B$33="Oral NOAEL =",$C$33&gt;=500,ISNUMBER($C$33))</formula>
    </cfRule>
    <cfRule type="expression" dxfId="291" priority="166">
      <formula>AND($B$33="Inhalation NOAEL =",$C$33&gt;=0.25,ISNUMBER($C$33))</formula>
    </cfRule>
    <cfRule type="expression" dxfId="290" priority="165">
      <formula>AND($B$33="Inhalation NOAEL =",$C$33&gt;=2.5,ISNUMBER($C$33))</formula>
    </cfRule>
  </conditionalFormatting>
  <conditionalFormatting sqref="K32:K34">
    <cfRule type="expression" dxfId="289" priority="156">
      <formula>$K$32="Manually set to: Green"</formula>
    </cfRule>
    <cfRule type="expression" dxfId="288" priority="155">
      <formula>$K$32="Manually set to: Yellow"</formula>
    </cfRule>
    <cfRule type="expression" dxfId="287" priority="154">
      <formula>$K$32="Manually set to:  Red"</formula>
    </cfRule>
    <cfRule type="expression" dxfId="286" priority="20">
      <formula>$K$32="Manually set to: Grey"</formula>
    </cfRule>
  </conditionalFormatting>
  <conditionalFormatting sqref="K36">
    <cfRule type="expression" dxfId="285" priority="163">
      <formula>$C$36="MAK C"</formula>
    </cfRule>
    <cfRule type="expression" dxfId="284" priority="161">
      <formula>AND($B$37="Oral NOAEL =",$C$37&gt;=50,ISNUMBER($C$37))</formula>
    </cfRule>
    <cfRule type="expression" dxfId="283" priority="159">
      <formula>AND($B$37="Inhalation NOAEL =",$C$37&lt;0.25,$C$37&gt;0)</formula>
    </cfRule>
    <cfRule type="expression" dxfId="282" priority="158">
      <formula>AND($B$37="Inhalation NOAEL =",$C$37&gt;=0.25,ISNUMBER($C$37))</formula>
    </cfRule>
    <cfRule type="expression" dxfId="281" priority="157">
      <formula>AND($B$37="Inhalation NOAEL =",$C$37&gt;=2.5,ISNUMBER($C$37))</formula>
    </cfRule>
    <cfRule type="expression" dxfId="280" priority="162">
      <formula>AND($B$37="Oral NOAEL =",$C$37&lt;50,$C$37&gt;0)</formula>
    </cfRule>
    <cfRule type="expression" dxfId="279" priority="160">
      <formula>AND($B$37="Oral NOAEL =",$C$37&gt;=500,ISNUMBER($C$37))</formula>
    </cfRule>
    <cfRule type="expression" dxfId="278" priority="164">
      <formula>OR($C$36="Repr. 1A: H360: May damage fertility or the unborn child",$C$36="Repr. 1B: H360: May damage fertility or the unborn child",$C$36="Repr. 2: H361: Suspected of damaging fertility or the unborn child",$C$36="MAK A",$C$36="MAK B")</formula>
    </cfRule>
  </conditionalFormatting>
  <conditionalFormatting sqref="K36:K38">
    <cfRule type="expression" dxfId="277" priority="142">
      <formula>$K$36="Manually set to: Grey"</formula>
    </cfRule>
    <cfRule type="expression" dxfId="276" priority="147">
      <formula>$K$36="Manually set to: Green"</formula>
    </cfRule>
    <cfRule type="expression" dxfId="275" priority="146">
      <formula>$K$36="Manually set to: Yellow"</formula>
    </cfRule>
    <cfRule type="expression" dxfId="274" priority="145">
      <formula>$K$36="Manually set to: Red"</formula>
    </cfRule>
  </conditionalFormatting>
  <conditionalFormatting sqref="K40:K41">
    <cfRule type="expression" dxfId="273" priority="54">
      <formula>$K$40="Manually set to: Grey"</formula>
    </cfRule>
    <cfRule type="expression" dxfId="272" priority="55">
      <formula>$K$40="Manually set to: Red"</formula>
    </cfRule>
    <cfRule type="expression" dxfId="271" priority="56">
      <formula>$K$40="Manually set to: Yellow"</formula>
    </cfRule>
    <cfRule type="expression" dxfId="270" priority="57">
      <formula>$K$40="Manually set to: Green"</formula>
    </cfRule>
  </conditionalFormatting>
  <conditionalFormatting sqref="K43:K47">
    <cfRule type="expression" dxfId="269" priority="182">
      <formula>$K$43="Manually set to: Grey"</formula>
    </cfRule>
    <cfRule type="expression" dxfId="268" priority="183">
      <formula>$K$43="Manually set to: Green"</formula>
    </cfRule>
    <cfRule type="expression" dxfId="267" priority="184">
      <formula>$K$43="Manually set to: Yellow"</formula>
    </cfRule>
    <cfRule type="expression" dxfId="266" priority="185">
      <formula>$K$43="Manually set to: Red"</formula>
    </cfRule>
    <cfRule type="expression" dxfId="265" priority="186">
      <formula>OR(AND(ISNUMBER($C$45),$C$45&lt;300),AND(ISNUMBER($C$46),$C$46&lt;10))</formula>
    </cfRule>
    <cfRule type="expression" dxfId="264" priority="187">
      <formula>$C$44="STOT RE 1: H372: Causes damage trough repeated oral exposure"</formula>
    </cfRule>
    <cfRule type="expression" dxfId="263" priority="188">
      <formula>$C$44="STOT SE 1: H370: Causes damage to organs via oral exposure"</formula>
    </cfRule>
    <cfRule type="expression" dxfId="262" priority="189">
      <formula>$C$43="Asp. Tox. 1: H304: May be fatal if swallowed and enters airways"</formula>
    </cfRule>
    <cfRule type="expression" dxfId="261" priority="190">
      <formula>$C$43="Acute Tox. 3: H301: Toxic if swallowed"</formula>
    </cfRule>
    <cfRule type="expression" dxfId="260" priority="191">
      <formula>$C$43="Acute Tox. 2: H300: Fatal if swallowed"</formula>
    </cfRule>
    <cfRule type="expression" dxfId="259" priority="192">
      <formula>$C$43="Acute Tox. 1: H300: Fatal if swallowed"</formula>
    </cfRule>
    <cfRule type="expression" dxfId="258" priority="193">
      <formula>$C$44="STOT RE 1: H372: Causes damage via repeated oral exposure"</formula>
    </cfRule>
    <cfRule type="expression" dxfId="257" priority="194">
      <formula>$C$44="STOT RE 2: H373: May cause damage via repeated oral exposure"</formula>
    </cfRule>
    <cfRule type="expression" dxfId="256" priority="195">
      <formula>$C$43="Acute Tox. 4: H302: Harmful if swallowed"</formula>
    </cfRule>
    <cfRule type="expression" dxfId="255" priority="196">
      <formula>AND($C$45&gt;=2000,$C$46&gt;=100,ISNUMBER($C$45),ISNUMBER($C$46))</formula>
    </cfRule>
    <cfRule type="expression" dxfId="254" priority="197">
      <formula>AND(OR($C$45&gt;=300,$C$46&gt;=10),ISNUMBER($C$45),ISNUMBER($C$46))</formula>
    </cfRule>
  </conditionalFormatting>
  <conditionalFormatting sqref="K49">
    <cfRule type="expression" dxfId="253" priority="246">
      <formula>AND($B$53="Chronic: LOAEL (dust/mist/aerosol) =",$C$53&gt;=0.2,ISNUMBER($C$53))</formula>
    </cfRule>
    <cfRule type="expression" dxfId="252" priority="248">
      <formula>AND($B$51="Acute: LC50 (vapor) =",$C$51&gt;=20,ISNUMBER($C$51))</formula>
    </cfRule>
    <cfRule type="expression" dxfId="251" priority="224">
      <formula>$K$49="Manually set to: Grey"</formula>
    </cfRule>
    <cfRule type="expression" dxfId="250" priority="244">
      <formula>AND($B$53="Chronic: LOAEL (vapor) =",$C$53&gt;=1,ISNUMBER($C$53))</formula>
    </cfRule>
    <cfRule type="expression" dxfId="249" priority="225">
      <formula>$K$49="Manually set to: Red"</formula>
    </cfRule>
    <cfRule type="expression" dxfId="248" priority="226">
      <formula>$K$49="Manually set to: Yellow"</formula>
    </cfRule>
    <cfRule type="expression" dxfId="247" priority="227">
      <formula>$K$49="Manually set to: Green"</formula>
    </cfRule>
    <cfRule type="expression" dxfId="246" priority="228">
      <formula>OR($C$49="Acute Tox. 1: H330: Fatal if inhaled",$C$49="Acute Tox. 2: H330: Fatal if inhaled",$C$49="Acute Tox. 3: H331: Toxic if inhaled")</formula>
    </cfRule>
    <cfRule type="expression" dxfId="245" priority="229">
      <formula>OR($C$50="STOT SE 1: H370: Damages organs via inhal. exp.",$C$50="STOT RE 1: H372: Damages organs via repeated inhal. exp.")</formula>
    </cfRule>
    <cfRule type="expression" dxfId="244" priority="230">
      <formula>AND($B$51="Acute: LC50 (gas) =",$C$51&lt;2500,ISNUMBER($C$51))</formula>
    </cfRule>
    <cfRule type="expression" dxfId="243" priority="231">
      <formula>AND($B$51="Acute: LC50 (dust/mist/aerosol) =",$C$51&lt;1,ISNUMBER($C$51))</formula>
    </cfRule>
    <cfRule type="expression" dxfId="242" priority="232">
      <formula>AND($B$51="Acute: LC50 (vapor) =",$C$51&lt;10,ISNUMBER($C$51))</formula>
    </cfRule>
    <cfRule type="expression" dxfId="241" priority="233">
      <formula>AND($B$53="Chronic: LOAEL (gas) =",$C$53&lt;50,ISNUMBER($C$53))</formula>
    </cfRule>
    <cfRule type="expression" dxfId="240" priority="234">
      <formula>AND($B$53="Chronic: LOAEL (vapor) =",$C$53&lt;0.2,ISNUMBER($C$53))</formula>
    </cfRule>
    <cfRule type="expression" dxfId="239" priority="235">
      <formula>AND($B$53="Chronic: LOAEL (dust/mist/aerosol) =",$C$53&lt;0.02,ISNUMBER($C$53))</formula>
    </cfRule>
    <cfRule type="expression" dxfId="238" priority="236">
      <formula>$C$49="Acute Tox. 4: H332: Harmful if inhaled"</formula>
    </cfRule>
    <cfRule type="expression" dxfId="237" priority="237">
      <formula>OR($C$50="STOT SE 2: H371: May damage organs via inhal. exp.",$C$50="STOT RE 2: H373: May damage organs via repeated inhal. exp.",$C$50="STOT SE 3: H336: May cause drowsiness")</formula>
    </cfRule>
    <cfRule type="expression" dxfId="236" priority="238">
      <formula>AND($B$53="Chronic: LOAEL (gas) =",AND($C$53&gt;=50,$C$53&lt;250),ISNUMBER($C$53))</formula>
    </cfRule>
    <cfRule type="expression" dxfId="235" priority="239">
      <formula>AND($B$53="Chronic: LOAEL (vapor) =",AND($C$53&gt;=0.2,$C$53&lt;1),ISNUMBER($C$53))</formula>
    </cfRule>
    <cfRule type="expression" dxfId="234" priority="240">
      <formula>AND($B$53="Chronic: LOAEL (dust/mist/aerosol) =",AND($C$53&gt;=0.02,$C$53&lt;0.2),ISNUMBER($C$53))</formula>
    </cfRule>
    <cfRule type="expression" dxfId="233" priority="241">
      <formula>AND($B$51="Acute: LC50 (gas) =",AND($C$51&gt;=2500,$C$51&lt;20000),ISNUMBER($C$51))</formula>
    </cfRule>
    <cfRule type="expression" dxfId="232" priority="242">
      <formula>AND($B$51="Acute: LC50 (vapor) =",AND($C$51&gt;=10,$C$51&lt;20),ISNUMBER($C$51))</formula>
    </cfRule>
    <cfRule type="expression" dxfId="231" priority="243">
      <formula>AND($B$51="Acute: LC50 (dust/mist/aerosol) =",AND($C$51&gt;=1,$C$51&lt;5),ISNUMBER($C$51))</formula>
    </cfRule>
    <cfRule type="expression" dxfId="230" priority="245">
      <formula>AND($B$53="Chronic: LOAEL (gas) =",$C$53&gt;=250,ISNUMBER($C$53))</formula>
    </cfRule>
    <cfRule type="expression" dxfId="229" priority="247">
      <formula>AND($B$51="Acute: LC50 (gas) =",$C$51&gt;=20000,ISNUMBER($C$51))</formula>
    </cfRule>
    <cfRule type="expression" dxfId="228" priority="249">
      <formula>AND($B$51="Acute: LC50 (dust/mist/aerosol) =",$C$51&gt;=5,ISNUMBER($C$51))</formula>
    </cfRule>
  </conditionalFormatting>
  <conditionalFormatting sqref="K56:K60">
    <cfRule type="expression" dxfId="227" priority="199">
      <formula>$K$56="Manually set to: Green"</formula>
    </cfRule>
    <cfRule type="expression" dxfId="226" priority="213">
      <formula>OR(AND(ISNUMBER($C$58),$C$58&gt;=2000),AND(ISNUMBER($C$59),$C$59&gt;=200))</formula>
    </cfRule>
    <cfRule type="expression" dxfId="225" priority="198">
      <formula>$K$56="Manually set to: Grey"</formula>
    </cfRule>
    <cfRule type="expression" dxfId="224" priority="211">
      <formula>$C$56="Acute Tox. 4: H312: Harmful in contact with skin"</formula>
    </cfRule>
    <cfRule type="expression" dxfId="223" priority="210">
      <formula>$C$57="STOT RE 2: H373: May cause damage via repeated dermal exposure"</formula>
    </cfRule>
    <cfRule type="expression" dxfId="222" priority="201">
      <formula>$K$56="Manually set to: Red"</formula>
    </cfRule>
    <cfRule type="expression" dxfId="221" priority="209">
      <formula>$C$57="STOT SE 2: H371: May cause damage to organs via dermal exposure"</formula>
    </cfRule>
    <cfRule type="expression" dxfId="220" priority="208">
      <formula>$C$56="Acute Tox. 1: H310: Fatal in contact with skin"</formula>
    </cfRule>
    <cfRule type="expression" dxfId="219" priority="200">
      <formula>$K$56="Manually set to: Yellow"</formula>
    </cfRule>
    <cfRule type="expression" dxfId="218" priority="202">
      <formula>OR(AND(ISNUMBER($C$58),$C$58&lt;1000),AND(ISNUMBER($C$59),$C$59&lt;20))</formula>
    </cfRule>
    <cfRule type="expression" dxfId="217" priority="212">
      <formula>OR(AND(ISNUMBER($C$58),$C$58&gt;=1000,$C$58&lt;2000),AND(ISNUMBER($C$59),$C$59&gt;=20,$C$59&lt;200))</formula>
    </cfRule>
    <cfRule type="expression" dxfId="216" priority="203">
      <formula>$C$57="STOT RE 1: H372: Causes damage via repeated dermal exposure"</formula>
    </cfRule>
    <cfRule type="expression" dxfId="215" priority="207">
      <formula>$C$56="Acute Tox. 2: H310: Fatal in contact with skin"</formula>
    </cfRule>
    <cfRule type="expression" dxfId="214" priority="206">
      <formula>$C$56="Acute Tox. 3: H311: Toxic in contact with skin"</formula>
    </cfRule>
    <cfRule type="expression" dxfId="213" priority="205">
      <formula>$C$57="STOT SE 1: H370: Causes damage to organs via dermal exposure"</formula>
    </cfRule>
    <cfRule type="expression" dxfId="212" priority="204">
      <formula>$C$57="STOT SE 1: H370: Causes damage to organs via oral exposure"</formula>
    </cfRule>
  </conditionalFormatting>
  <conditionalFormatting sqref="K62">
    <cfRule type="expression" dxfId="211" priority="15">
      <formula>$K$62="Manually set to: Grey"</formula>
    </cfRule>
    <cfRule type="expression" dxfId="210" priority="16">
      <formula>$K$62="Manually set to: Green"</formula>
    </cfRule>
    <cfRule type="expression" dxfId="209" priority="17">
      <formula>$K$62="Manually set to: Yellow"</formula>
    </cfRule>
    <cfRule type="expression" dxfId="208" priority="304">
      <formula>$C$63="Eye irrit. 2b: H320 Causes eye irritation"</formula>
    </cfRule>
    <cfRule type="expression" dxfId="207" priority="305">
      <formula>$C$63="Eye irrit. 2a: H319 Causes serious eye irritation"</formula>
    </cfRule>
    <cfRule type="expression" dxfId="206" priority="18">
      <formula>$K$62="Manually set to: Red"</formula>
    </cfRule>
    <cfRule type="expression" dxfId="205" priority="303">
      <formula>$C$62="Skin irritating according to testing"</formula>
    </cfRule>
    <cfRule type="expression" dxfId="204" priority="302">
      <formula>$C$63="Eye irritating according to testing"</formula>
    </cfRule>
    <cfRule type="expression" dxfId="203" priority="301">
      <formula>$C$64="Irritating according to testing"</formula>
    </cfRule>
    <cfRule type="expression" dxfId="202" priority="308">
      <formula>$C$64="Not irritating according to testing"</formula>
    </cfRule>
    <cfRule type="expression" dxfId="201" priority="307">
      <formula>$C$62="Not irritating according to testing"</formula>
    </cfRule>
    <cfRule type="expression" dxfId="200" priority="306">
      <formula>$C$62="Skin Irrit. 2: H315 Causes skin irritation"</formula>
    </cfRule>
    <cfRule type="expression" dxfId="199" priority="300">
      <formula>$C$64="STOT SE 3: H335 May cause respiratory tract irritation"</formula>
    </cfRule>
    <cfRule type="expression" dxfId="198" priority="299">
      <formula>$C$62="Skin Corr. 1: H314 Causes severe skin burns and eye damage"</formula>
    </cfRule>
    <cfRule type="expression" dxfId="197" priority="309">
      <formula>$C$63="Not irritating according to testing"</formula>
    </cfRule>
    <cfRule type="expression" dxfId="196" priority="298">
      <formula>$C$63="Eye Dam. 1: H318 Causes serious eye damage"</formula>
    </cfRule>
    <cfRule type="expression" dxfId="195" priority="297">
      <formula>$C$64="Corrosive according to testing"</formula>
    </cfRule>
    <cfRule type="expression" dxfId="194" priority="296">
      <formula>$C$62="Skin corrosive according to testing"</formula>
    </cfRule>
    <cfRule type="expression" dxfId="193" priority="295">
      <formula>$C$63="Eye damaging according to testing"</formula>
    </cfRule>
  </conditionalFormatting>
  <conditionalFormatting sqref="K62:K66">
    <cfRule type="expression" dxfId="192" priority="294">
      <formula>AND(ISNUMBER($C$65),$B$65="No studies available: pH =",OR($C$65&lt;=2,$C$65&gt;=11.5))</formula>
    </cfRule>
  </conditionalFormatting>
  <conditionalFormatting sqref="K68:K70">
    <cfRule type="expression" dxfId="191" priority="214">
      <formula>$K$68="Manually set to: Yellow"</formula>
    </cfRule>
    <cfRule type="expression" dxfId="190" priority="215">
      <formula>$K$68="Manually set to: Red"</formula>
    </cfRule>
    <cfRule type="expression" dxfId="189" priority="217">
      <formula>$C$68="MAK Sh"</formula>
    </cfRule>
    <cfRule type="expression" dxfId="188" priority="218">
      <formula>$C$69="MAK Sa"</formula>
    </cfRule>
    <cfRule type="expression" dxfId="187" priority="219">
      <formula>$C$69="Sensitizing according to testing"</formula>
    </cfRule>
    <cfRule type="expression" dxfId="186" priority="220">
      <formula>$C$69="Resp. Sens. 1: H334 May cause allergy or asthma symptoms or breathing difficulties if inhaled"</formula>
    </cfRule>
    <cfRule type="expression" dxfId="185" priority="221">
      <formula>$C$68="Skin Sens. 1: H317 May cause an allergic skin reaction"</formula>
    </cfRule>
    <cfRule type="expression" dxfId="184" priority="222">
      <formula>$C$68="Not sensitzing according to testing"</formula>
    </cfRule>
    <cfRule type="expression" dxfId="183" priority="223">
      <formula>$C$69="Not sensitzing according to testing"</formula>
    </cfRule>
    <cfRule type="expression" dxfId="182" priority="10">
      <formula>$K$68="Manually set to: Grey"</formula>
    </cfRule>
    <cfRule type="expression" dxfId="181" priority="11">
      <formula>$K$68="Manually set to: Green"</formula>
    </cfRule>
    <cfRule type="expression" dxfId="180" priority="216">
      <formula>$C$68="Sensitizing according to testing"</formula>
    </cfRule>
  </conditionalFormatting>
  <conditionalFormatting sqref="K72:K73">
    <cfRule type="expression" dxfId="179" priority="53">
      <formula>$K$72="Manually set to: Red"</formula>
    </cfRule>
    <cfRule type="expression" dxfId="178" priority="52">
      <formula>$K$72="Manually set to: Yellow"</formula>
    </cfRule>
    <cfRule type="expression" dxfId="177" priority="51">
      <formula>$K$72="Manually set to: Green"</formula>
    </cfRule>
    <cfRule type="expression" dxfId="176" priority="50">
      <formula>$K$72="Manually set to: Grey"</formula>
    </cfRule>
  </conditionalFormatting>
  <conditionalFormatting sqref="K77">
    <cfRule type="expression" dxfId="175" priority="260">
      <formula>AND($C$79&gt;=10,ISNUMBER($C$79))</formula>
    </cfRule>
    <cfRule type="expression" dxfId="174" priority="250">
      <formula>$K$77="Manually set to: Green"</formula>
    </cfRule>
    <cfRule type="expression" dxfId="173" priority="252">
      <formula>$K$77="Manually set to: Red"</formula>
    </cfRule>
    <cfRule type="expression" dxfId="172" priority="253">
      <formula>OR($C$77="Aqua. Acute 1: H400",$C$77="Aqua. Chronic 1: H410",$C$77="Aqua. Chronic 2: H411",$C$77="Aqua. Chronic 3: H412",$C$77="Aqua. Chronic 4: H413")</formula>
    </cfRule>
    <cfRule type="expression" dxfId="171" priority="14">
      <formula>$K$77="Manually set to: Grey"</formula>
    </cfRule>
    <cfRule type="expression" dxfId="170" priority="254">
      <formula>AND($C$78&lt;10,ISNUMBER($C$78))</formula>
    </cfRule>
    <cfRule type="expression" dxfId="169" priority="255">
      <formula>AND($C$79&lt;1,ISNUMBER($C$79))</formula>
    </cfRule>
    <cfRule type="expression" dxfId="168" priority="256">
      <formula>OR($C$77="Aqua. Acute 2: H401",$C$77="Aqua. Acute 3: H402")</formula>
    </cfRule>
    <cfRule type="expression" dxfId="167" priority="257">
      <formula>AND($C$78&gt;=10,$C$78&lt;100,ISNUMBER($C$78))</formula>
    </cfRule>
    <cfRule type="expression" dxfId="166" priority="251">
      <formula>$K$77="Manually set to: Yellow"</formula>
    </cfRule>
    <cfRule type="expression" dxfId="165" priority="258">
      <formula>AND($C$79&gt;=1,$C$79&lt;10,ISNUMBER($C$79))</formula>
    </cfRule>
    <cfRule type="expression" dxfId="164" priority="259">
      <formula>AND($C$78&gt;=100,ISNUMBER($C$78))</formula>
    </cfRule>
  </conditionalFormatting>
  <conditionalFormatting sqref="K82">
    <cfRule type="expression" dxfId="163" priority="268">
      <formula>OR($C$82="Aqua. Acute 2: H401",$C$82="Aqua. Acute 3: H402")</formula>
    </cfRule>
    <cfRule type="expression" dxfId="162" priority="261">
      <formula>$K$82="Manually set to: Green"</formula>
    </cfRule>
    <cfRule type="expression" dxfId="161" priority="262">
      <formula>$K$82="Manually set to: Yellow"</formula>
    </cfRule>
    <cfRule type="expression" dxfId="160" priority="263">
      <formula>$K$82="Manually set to: Red"</formula>
    </cfRule>
    <cfRule type="expression" dxfId="159" priority="264">
      <formula>OR($C$82="Aqua. Acute 1: H400",$C$82="Aqua. Chronic 1: H410",$C$82="Aqua. Chronic 2: H411",$C$82="Aqua. Chronic 3: H412",$C$82="Aqua. Chronic 4: H413")</formula>
    </cfRule>
    <cfRule type="expression" dxfId="158" priority="13">
      <formula>$K$82="Manually set to: Grey"</formula>
    </cfRule>
    <cfRule type="expression" dxfId="157" priority="266">
      <formula>AND($C$84&lt;1,ISNUMBER($C$84))</formula>
    </cfRule>
    <cfRule type="expression" dxfId="156" priority="267">
      <formula>AND($C$83&gt;=10,$C$83&lt;100,ISNUMBER($C$83))</formula>
    </cfRule>
    <cfRule type="expression" dxfId="155" priority="269">
      <formula>AND($C$84&gt;=1,$C$84&lt;10,ISNUMBER($C$84))</formula>
    </cfRule>
    <cfRule type="expression" dxfId="154" priority="270">
      <formula>AND($C$83&gt;=100,ISNUMBER($C$83))</formula>
    </cfRule>
    <cfRule type="expression" dxfId="153" priority="271">
      <formula>AND($C$84&gt;=10,ISNUMBER($C$84))</formula>
    </cfRule>
    <cfRule type="expression" dxfId="152" priority="265">
      <formula>AND($C$83&lt;10,ISNUMBER($C$83))</formula>
    </cfRule>
  </conditionalFormatting>
  <conditionalFormatting sqref="K87">
    <cfRule type="expression" dxfId="151" priority="277">
      <formula>AND($C$89&lt;1,ISNUMBER($C$89))</formula>
    </cfRule>
    <cfRule type="expression" dxfId="150" priority="282">
      <formula>AND($C$89&gt;=10,ISNUMBER($C$89))</formula>
    </cfRule>
    <cfRule type="expression" dxfId="149" priority="276">
      <formula>AND($C$88&lt;10,ISNUMBER($C$88))</formula>
    </cfRule>
    <cfRule type="expression" dxfId="148" priority="275">
      <formula>OR($C$87="Aqua. Acute 1: H400",$C$87="Aqua. Chronic 1: H410",$C$87="Aqua. Chronic 2: H411",$C$87="Aqua. Chronic 3: H412",$C$87="Aqua. Chronic 4: H413")</formula>
    </cfRule>
    <cfRule type="expression" dxfId="147" priority="278">
      <formula>OR($C$87="Aqua. Acute 2: H401",$C$87="Aqua. Acute 3: H402")</formula>
    </cfRule>
    <cfRule type="expression" dxfId="146" priority="272">
      <formula>$K$87="Manually set to: Green"</formula>
    </cfRule>
    <cfRule type="expression" dxfId="145" priority="273">
      <formula>$K$87="Manually set to: Yellow"</formula>
    </cfRule>
    <cfRule type="expression" dxfId="144" priority="274">
      <formula>$K$87="Manually set to: Red"</formula>
    </cfRule>
    <cfRule type="expression" dxfId="143" priority="279">
      <formula>AND($C$88&lt;100,$C$88&gt;=10,ISNUMBER($C$88))</formula>
    </cfRule>
    <cfRule type="expression" dxfId="142" priority="280">
      <formula>AND($C$89&gt;=1,$C$89&lt;10,ISNUMBER($C$89))</formula>
    </cfRule>
    <cfRule type="expression" dxfId="141" priority="281">
      <formula>AND($C$88&gt;=100,ISNUMBER($C$88))</formula>
    </cfRule>
    <cfRule type="expression" dxfId="140" priority="12">
      <formula>$K$87="Manually set to: Grey"</formula>
    </cfRule>
  </conditionalFormatting>
  <conditionalFormatting sqref="K92:K93">
    <cfRule type="expression" dxfId="139" priority="46">
      <formula>$K$92="Manually set to: Grey"</formula>
    </cfRule>
    <cfRule type="expression" dxfId="138" priority="47">
      <formula>$K$92="Manually set to: Green"</formula>
    </cfRule>
    <cfRule type="expression" dxfId="137" priority="48">
      <formula>$K$92="Manually set to: Yellow"</formula>
    </cfRule>
    <cfRule type="expression" dxfId="136" priority="49">
      <formula>$K$92="Manually set to: Red"</formula>
    </cfRule>
  </conditionalFormatting>
  <conditionalFormatting sqref="K95:K96">
    <cfRule type="expression" dxfId="135" priority="42">
      <formula>$K$95="Manually set to: Grey"</formula>
    </cfRule>
    <cfRule type="expression" dxfId="134" priority="43">
      <formula>$K$95="Manually set to: Green"</formula>
    </cfRule>
    <cfRule type="expression" dxfId="133" priority="44">
      <formula>$K$95="Manually set to: Yellow"</formula>
    </cfRule>
    <cfRule type="expression" dxfId="132" priority="45">
      <formula>$K$95="Manually set to: Red"</formula>
    </cfRule>
  </conditionalFormatting>
  <conditionalFormatting sqref="K98">
    <cfRule type="expression" dxfId="131" priority="293">
      <formula>AND($C$98&lt;500,$C$99&lt;6,ISNUMBER($C$98),ISNUMBER($C$99))</formula>
    </cfRule>
    <cfRule type="expression" dxfId="130" priority="283">
      <formula>$K$98="Manually set to: Purple"</formula>
    </cfRule>
    <cfRule type="expression" dxfId="129" priority="285">
      <formula>$K$98="Manually set to: Green"</formula>
    </cfRule>
    <cfRule type="expression" dxfId="128" priority="286">
      <formula>$K$98="Manually set to: Yellow"</formula>
    </cfRule>
    <cfRule type="expression" dxfId="127" priority="287">
      <formula>$K$98="Manually set to: Red"</formula>
    </cfRule>
    <cfRule type="expression" dxfId="126" priority="288">
      <formula>AND($C$100&gt;=1000,ISNUMBER($C$100))</formula>
    </cfRule>
    <cfRule type="expression" dxfId="125" priority="289">
      <formula>AND($C$99&lt;2,ISNUMBER($C$99))</formula>
    </cfRule>
    <cfRule type="expression" dxfId="124" priority="290">
      <formula>AND($C$98&gt;5000,$C$99&lt;6,ISNUMBER($C$98),ISNUMBER($C$99))</formula>
    </cfRule>
    <cfRule type="expression" dxfId="123" priority="291">
      <formula>AND($C$98&gt;2000,$C$98&lt;=5000,$C$99&lt;6,ISNUMBER($C$98),ISNUMBER($C$99))</formula>
    </cfRule>
    <cfRule type="expression" dxfId="122" priority="292">
      <formula>AND($C$98&lt;=2000,$C$98&gt;=500,$C$99&lt;6,ISNUMBER($C$98),ISNUMBER($C$99))</formula>
    </cfRule>
    <cfRule type="expression" dxfId="121" priority="284">
      <formula>$K$98="Manually set to: Grey"</formula>
    </cfRule>
  </conditionalFormatting>
  <conditionalFormatting sqref="K103:K104">
    <cfRule type="expression" dxfId="120" priority="320">
      <formula>AND($B$103="% DOC biodegradation after 28 days:",$D$103&gt;=70,ISNUMBER($D$103))</formula>
    </cfRule>
    <cfRule type="expression" dxfId="119" priority="312">
      <formula>$K$103="Manually set to: Yellow"</formula>
    </cfRule>
    <cfRule type="expression" dxfId="118" priority="318">
      <formula>AND($B$103="% DOC biodegradation after 28 days:",$D$103&lt;70,$D$103&gt;=20,ISNUMBER($D$103))</formula>
    </cfRule>
    <cfRule type="expression" dxfId="117" priority="319">
      <formula>AND($B$103="% ThOD biodegradation after 28 days:",$D$103&gt;=60,ISNUMBER($D$103))</formula>
    </cfRule>
    <cfRule type="expression" dxfId="116" priority="310">
      <formula>$K$103="Manually set to: Grey"</formula>
    </cfRule>
    <cfRule type="expression" dxfId="115" priority="313">
      <formula>$K$103="Manually set to: Red"</formula>
    </cfRule>
    <cfRule type="expression" dxfId="114" priority="314">
      <formula>AND($B$103="% DOC biodegradation after 28 days:",$D$103&lt;20,ISNUMBER($D$103))</formula>
    </cfRule>
    <cfRule type="expression" dxfId="113" priority="315">
      <formula>AND($B$103="% ThOD biodegradation after 28 days:",$D$103&lt;20,ISNUMBER($D$103))</formula>
    </cfRule>
    <cfRule type="expression" dxfId="112" priority="316">
      <formula>$B$103="Substance is inherently biodegradable"</formula>
    </cfRule>
    <cfRule type="expression" dxfId="111" priority="317">
      <formula>AND($B$103="% ThOD biodegradation after 28 days:",$D$103&lt;60,$D$103&gt;=20,ISNUMBER($D$103))</formula>
    </cfRule>
    <cfRule type="expression" dxfId="110" priority="9">
      <formula>$K$103="Manually set to: Purple"</formula>
    </cfRule>
    <cfRule type="expression" dxfId="109" priority="311">
      <formula>$K$103="Manually set to: Green"</formula>
    </cfRule>
  </conditionalFormatting>
  <conditionalFormatting sqref="K106:K107">
    <cfRule type="expression" dxfId="108" priority="40">
      <formula>$K$106="Manually set to: Yellow"</formula>
    </cfRule>
    <cfRule type="expression" dxfId="107" priority="39">
      <formula>$K$106="Manually set to: Green"</formula>
    </cfRule>
    <cfRule type="expression" dxfId="106" priority="41">
      <formula>$K$106="Manually set to: Red"</formula>
    </cfRule>
    <cfRule type="expression" dxfId="105" priority="38">
      <formula>$K$106="Manually set to: Grey"</formula>
    </cfRule>
  </conditionalFormatting>
  <conditionalFormatting sqref="K109:K110">
    <cfRule type="expression" dxfId="104" priority="34">
      <formula>$K$109="Manually set to: Grey"</formula>
    </cfRule>
    <cfRule type="expression" dxfId="103" priority="35">
      <formula>$K$109="Manually set to: Green"</formula>
    </cfRule>
    <cfRule type="expression" dxfId="102" priority="36">
      <formula>$K$109="Manually set to: Yellow"</formula>
    </cfRule>
    <cfRule type="expression" dxfId="101" priority="37">
      <formula>$K$109="Manually set to: Red"</formula>
    </cfRule>
  </conditionalFormatting>
  <conditionalFormatting sqref="K112">
    <cfRule type="expression" dxfId="100" priority="30">
      <formula>$K$112="Manually set to: Grey"</formula>
    </cfRule>
    <cfRule type="expression" dxfId="99" priority="31">
      <formula>$K$112="Manually set to: Red"</formula>
    </cfRule>
    <cfRule type="expression" dxfId="98" priority="32">
      <formula>$K$112="Manually set to: Yellow"</formula>
    </cfRule>
    <cfRule type="expression" dxfId="97" priority="33">
      <formula>$K$112="Manually set to: Green"</formula>
    </cfRule>
  </conditionalFormatting>
  <conditionalFormatting sqref="K115">
    <cfRule type="expression" dxfId="96" priority="26">
      <formula>$K$115="Manually set to: Grey"</formula>
    </cfRule>
    <cfRule type="expression" dxfId="95" priority="27">
      <formula>$K$115="Manually set to: Red"</formula>
    </cfRule>
    <cfRule type="expression" dxfId="94" priority="28">
      <formula>$K$115="Manually set to: Yellow"</formula>
    </cfRule>
    <cfRule type="expression" dxfId="93" priority="29">
      <formula>$K$115="Manually set to: Green"</formula>
    </cfRule>
  </conditionalFormatting>
  <conditionalFormatting sqref="L18:L19">
    <cfRule type="expression" dxfId="92" priority="141">
      <formula>$L$18="Manually set to: Green"</formula>
    </cfRule>
    <cfRule type="expression" dxfId="91" priority="140">
      <formula>$L$18="Manually set to: Yellow"</formula>
    </cfRule>
    <cfRule type="expression" dxfId="90" priority="139">
      <formula>$L$18="Manually set to: Red"</formula>
    </cfRule>
    <cfRule type="expression" dxfId="89" priority="138">
      <formula>$L$18="Manually set to: Grey"</formula>
    </cfRule>
  </conditionalFormatting>
  <conditionalFormatting sqref="L21:L22">
    <cfRule type="expression" dxfId="88" priority="135">
      <formula>$L$21="Manually set to: Red"</formula>
    </cfRule>
    <cfRule type="expression" dxfId="87" priority="134">
      <formula>$L$21="Manually set to: Grey"</formula>
    </cfRule>
    <cfRule type="expression" dxfId="86" priority="137">
      <formula>$L$21="Manually set to: Green"</formula>
    </cfRule>
    <cfRule type="expression" dxfId="85" priority="136">
      <formula>$L$21="Manually set to: Yellow"</formula>
    </cfRule>
  </conditionalFormatting>
  <conditionalFormatting sqref="L24">
    <cfRule type="expression" dxfId="84" priority="132">
      <formula>$L$24="Manually set to: Yellow"</formula>
    </cfRule>
    <cfRule type="expression" dxfId="83" priority="131">
      <formula>$L$24="Manually set to: Red"</formula>
    </cfRule>
    <cfRule type="expression" dxfId="82" priority="130">
      <formula>$L$24="Manually set to: Grey"</formula>
    </cfRule>
    <cfRule type="expression" dxfId="81" priority="133">
      <formula>$L$24="Manually set to: Green"</formula>
    </cfRule>
  </conditionalFormatting>
  <conditionalFormatting sqref="L32">
    <cfRule type="expression" dxfId="80" priority="129">
      <formula>$L$32="Manually set to: Green"</formula>
    </cfRule>
    <cfRule type="expression" dxfId="79" priority="128">
      <formula>$L$32="Manually set to: Yellow"</formula>
    </cfRule>
    <cfRule type="expression" dxfId="78" priority="127">
      <formula>$L$32="Manually set to: Red"</formula>
    </cfRule>
    <cfRule type="expression" dxfId="77" priority="126">
      <formula>$L$32="Manually set to: Grey"</formula>
    </cfRule>
  </conditionalFormatting>
  <conditionalFormatting sqref="L36">
    <cfRule type="expression" dxfId="76" priority="125">
      <formula>$L$36="Manually set to: Green"</formula>
    </cfRule>
    <cfRule type="expression" dxfId="75" priority="122">
      <formula>$L$36="Manually set to: Grey"</formula>
    </cfRule>
    <cfRule type="expression" dxfId="74" priority="123">
      <formula>$L$36="Manually set to: Red"</formula>
    </cfRule>
    <cfRule type="expression" dxfId="73" priority="124">
      <formula>$L$36="Manually set to: Yellow"</formula>
    </cfRule>
  </conditionalFormatting>
  <conditionalFormatting sqref="L40:L41">
    <cfRule type="expression" dxfId="72" priority="120">
      <formula>$L$40="Manually set to: Yellow"</formula>
    </cfRule>
    <cfRule type="expression" dxfId="71" priority="121">
      <formula>$L$40="Manually set to: Green"</formula>
    </cfRule>
    <cfRule type="expression" dxfId="70" priority="118">
      <formula>$L$40="Manually set to: Grey"</formula>
    </cfRule>
    <cfRule type="expression" dxfId="69" priority="119">
      <formula>$L$40="Manually set to: Red"</formula>
    </cfRule>
  </conditionalFormatting>
  <conditionalFormatting sqref="L43">
    <cfRule type="expression" dxfId="68" priority="114">
      <formula>$L$43="Manually set to: Grey"</formula>
    </cfRule>
    <cfRule type="expression" dxfId="67" priority="115">
      <formula>$L$43="Manually set to: Red"</formula>
    </cfRule>
    <cfRule type="expression" dxfId="66" priority="116">
      <formula>$L$43="Manually set to: Yellow"</formula>
    </cfRule>
    <cfRule type="expression" dxfId="65" priority="117">
      <formula>$L$43="Manually set to: Green"</formula>
    </cfRule>
  </conditionalFormatting>
  <conditionalFormatting sqref="L49">
    <cfRule type="expression" dxfId="64" priority="110">
      <formula>$L$49="Manually set to: Grey"</formula>
    </cfRule>
    <cfRule type="expression" dxfId="63" priority="111">
      <formula>$L$49="Manually set to: Red"</formula>
    </cfRule>
    <cfRule type="expression" dxfId="62" priority="112">
      <formula>$L$49="Manually set to: Yellow"</formula>
    </cfRule>
    <cfRule type="expression" dxfId="61" priority="113">
      <formula>$L$49="Manually set to: Green"</formula>
    </cfRule>
  </conditionalFormatting>
  <conditionalFormatting sqref="L56">
    <cfRule type="expression" dxfId="60" priority="107">
      <formula>$L$56="Manually set to: Red"</formula>
    </cfRule>
    <cfRule type="expression" dxfId="59" priority="106">
      <formula>$L$56="Manually set to: Grey"</formula>
    </cfRule>
    <cfRule type="expression" dxfId="58" priority="108">
      <formula>$L$56="Manually set to: Yellow"</formula>
    </cfRule>
    <cfRule type="expression" dxfId="57" priority="109">
      <formula>$L$56="Manually set to: Green"</formula>
    </cfRule>
  </conditionalFormatting>
  <conditionalFormatting sqref="L62">
    <cfRule type="expression" dxfId="56" priority="102">
      <formula>$L$62="Manually set to: Grey"</formula>
    </cfRule>
    <cfRule type="expression" dxfId="55" priority="103">
      <formula>$L$62="Manually set to: Red"</formula>
    </cfRule>
    <cfRule type="expression" dxfId="54" priority="104">
      <formula>$L$62="Manually set to: Yellow"</formula>
    </cfRule>
    <cfRule type="expression" dxfId="53" priority="105">
      <formula>$L$62="Manually set to: Green"</formula>
    </cfRule>
  </conditionalFormatting>
  <conditionalFormatting sqref="L68">
    <cfRule type="expression" dxfId="52" priority="98">
      <formula>$L$68="Manually set to: Grey"</formula>
    </cfRule>
    <cfRule type="expression" dxfId="51" priority="100">
      <formula>$L$68="Manually set to: Yellow"</formula>
    </cfRule>
    <cfRule type="expression" dxfId="50" priority="101">
      <formula>$L$68="Manually set to: Green"</formula>
    </cfRule>
    <cfRule type="expression" dxfId="49" priority="99">
      <formula>$L$68="Manually set to: Red"</formula>
    </cfRule>
  </conditionalFormatting>
  <conditionalFormatting sqref="L72:L74">
    <cfRule type="expression" dxfId="48" priority="94">
      <formula>$L$72="Manually set to: Grey"</formula>
    </cfRule>
    <cfRule type="expression" dxfId="47" priority="95">
      <formula>$L$72="Manually set to: Red"</formula>
    </cfRule>
    <cfRule type="expression" dxfId="46" priority="96">
      <formula>$L$72="Manually set to: Yellow"</formula>
    </cfRule>
    <cfRule type="expression" dxfId="45" priority="97">
      <formula>$L$72="Manually set to: Green"</formula>
    </cfRule>
  </conditionalFormatting>
  <conditionalFormatting sqref="L77">
    <cfRule type="expression" dxfId="44" priority="91">
      <formula>$L$77="Manually set to: Red"</formula>
    </cfRule>
    <cfRule type="expression" dxfId="43" priority="90">
      <formula>$L$77="Manually set to: Grey"</formula>
    </cfRule>
    <cfRule type="expression" dxfId="42" priority="92">
      <formula>$L$77="Manually set to: Yellow"</formula>
    </cfRule>
    <cfRule type="expression" dxfId="41" priority="93">
      <formula>$L$77="Manually set to: Green"</formula>
    </cfRule>
  </conditionalFormatting>
  <conditionalFormatting sqref="L82">
    <cfRule type="expression" dxfId="40" priority="89">
      <formula>$L$82="Manually set to: Green"</formula>
    </cfRule>
    <cfRule type="expression" dxfId="39" priority="88">
      <formula>$L$82="Manually set to: Yellow"</formula>
    </cfRule>
    <cfRule type="expression" dxfId="38" priority="87">
      <formula>$L$82="Manually set to: Red"</formula>
    </cfRule>
    <cfRule type="expression" dxfId="37" priority="86">
      <formula>$L$82="Manually set to: Grey"</formula>
    </cfRule>
  </conditionalFormatting>
  <conditionalFormatting sqref="L87">
    <cfRule type="expression" dxfId="36" priority="83">
      <formula>$L$87="Manually set to: Red"</formula>
    </cfRule>
    <cfRule type="expression" dxfId="35" priority="85">
      <formula>$L$87="Manually set to: Green"</formula>
    </cfRule>
    <cfRule type="expression" dxfId="34" priority="84">
      <formula>$L$87="Manually set to: Yellow"</formula>
    </cfRule>
    <cfRule type="expression" dxfId="33" priority="82">
      <formula>$L$87="Manually set to: Grey"</formula>
    </cfRule>
  </conditionalFormatting>
  <conditionalFormatting sqref="L92:L93">
    <cfRule type="expression" dxfId="32" priority="81">
      <formula>$L$92="Manually set to: Green"</formula>
    </cfRule>
    <cfRule type="expression" dxfId="31" priority="80">
      <formula>$L$92="Manually set to: Yellow"</formula>
    </cfRule>
    <cfRule type="expression" dxfId="30" priority="79">
      <formula>$L$92="Manually set to: Red"</formula>
    </cfRule>
    <cfRule type="expression" dxfId="29" priority="78">
      <formula>$L$92="Manually set to: Grey"</formula>
    </cfRule>
  </conditionalFormatting>
  <conditionalFormatting sqref="L95:L96">
    <cfRule type="expression" dxfId="28" priority="77">
      <formula>$L$95="Manually set to: Green"</formula>
    </cfRule>
    <cfRule type="expression" dxfId="27" priority="76">
      <formula>$L$95="Manually set to: Yellow"</formula>
    </cfRule>
    <cfRule type="expression" dxfId="26" priority="75">
      <formula>$L$95="Manually set to: Red"</formula>
    </cfRule>
    <cfRule type="expression" dxfId="25" priority="74">
      <formula>$L$95="Manually set to: Grey"</formula>
    </cfRule>
  </conditionalFormatting>
  <conditionalFormatting sqref="L98">
    <cfRule type="expression" dxfId="24" priority="73">
      <formula>$L$98="Manually set to: Green"</formula>
    </cfRule>
    <cfRule type="expression" dxfId="23" priority="72">
      <formula>$L$98="Manually set to: Yellow"</formula>
    </cfRule>
    <cfRule type="expression" dxfId="22" priority="71">
      <formula>$L$98="Manually set to: Red"</formula>
    </cfRule>
    <cfRule type="expression" dxfId="21" priority="70">
      <formula>$L$98="Manually set to: Grey"</formula>
    </cfRule>
  </conditionalFormatting>
  <conditionalFormatting sqref="L103:L104">
    <cfRule type="expression" dxfId="20" priority="69">
      <formula>$L$103="Manually set to: Green"</formula>
    </cfRule>
    <cfRule type="expression" dxfId="19" priority="68">
      <formula>$L$103="Manually set to: Yellow"</formula>
    </cfRule>
    <cfRule type="expression" dxfId="18" priority="67">
      <formula>$L$103="Manually set to: Red"</formula>
    </cfRule>
    <cfRule type="expression" dxfId="17" priority="66">
      <formula>$L$103="Manually set to: Grey"</formula>
    </cfRule>
  </conditionalFormatting>
  <conditionalFormatting sqref="L106:L107">
    <cfRule type="expression" dxfId="16" priority="65">
      <formula>$L$106="Manually set to: Green"</formula>
    </cfRule>
    <cfRule type="expression" dxfId="15" priority="62">
      <formula>$L$106="Manually set to: Grey"</formula>
    </cfRule>
    <cfRule type="expression" dxfId="14" priority="63">
      <formula>$L$106="Manually set to: Red"</formula>
    </cfRule>
    <cfRule type="expression" dxfId="13" priority="64">
      <formula>$L$106="Manually set to: Yellow"</formula>
    </cfRule>
  </conditionalFormatting>
  <conditionalFormatting sqref="L109:L110">
    <cfRule type="expression" dxfId="12" priority="58">
      <formula>$L$109="Manually set to: Grey"</formula>
    </cfRule>
    <cfRule type="expression" dxfId="11" priority="59">
      <formula>$L$109="Manually set to: Red"</formula>
    </cfRule>
    <cfRule type="expression" dxfId="10" priority="60">
      <formula>$L$109="Manually set to: Yellow"</formula>
    </cfRule>
    <cfRule type="expression" dxfId="9" priority="61">
      <formula>$L$109="Manually set to: Green"</formula>
    </cfRule>
  </conditionalFormatting>
  <conditionalFormatting sqref="L117:L118">
    <cfRule type="expression" dxfId="8" priority="1">
      <formula>$L$117="Manually set to: Green"</formula>
    </cfRule>
    <cfRule type="expression" dxfId="7" priority="4">
      <formula>$L$117="Manually set to: Grey"</formula>
    </cfRule>
    <cfRule type="expression" dxfId="6" priority="3">
      <formula>$L$117="Manually set to: Red"</formula>
    </cfRule>
    <cfRule type="expression" dxfId="5" priority="2">
      <formula>$L$117="Manually set to: Yellow"</formula>
    </cfRule>
  </conditionalFormatting>
  <conditionalFormatting sqref="L119:L120">
    <cfRule type="expression" dxfId="4" priority="5">
      <formula>$L$119="Manually set to: Grey"</formula>
    </cfRule>
    <cfRule type="expression" dxfId="3" priority="6">
      <formula>$L$119="Manually set to: Red"</formula>
    </cfRule>
    <cfRule type="expression" dxfId="2" priority="7">
      <formula>$L$119="Manually set to: Yellow"</formula>
    </cfRule>
    <cfRule type="expression" dxfId="1" priority="8">
      <formula>$L$119="Manually set to: Green"</formula>
    </cfRule>
  </conditionalFormatting>
  <conditionalFormatting sqref="R22">
    <cfRule type="expression" dxfId="0" priority="176">
      <formula>AND(M23="Positive",M24="Positive")</formula>
    </cfRule>
  </conditionalFormatting>
  <dataValidations count="27">
    <dataValidation type="list" allowBlank="1" showInputMessage="1" sqref="C26:E26 C28:E29" xr:uid="{D05CC672-0978-CA4A-A392-CC5D67EB1B7D}">
      <formula1>"In vitro mam: OECD 473,In vitro mam: OECD 487,In vivo mam: OECD 478,In vivo mam: OECD 483,In vivo mam: OECD 485,In vivo mam: OECD 474,In vivo mam: OECD 475,In vivo mam: OECD 488,In vivo mam: OECD 486,In vivo mam: OECD 489,No data"</formula1>
    </dataValidation>
    <dataValidation type="list" allowBlank="1" showInputMessage="1" sqref="C25:E25 C27:E27" xr:uid="{4644DA81-B246-6D4A-9DB8-362D9C114D51}">
      <formula1>"In vitro bact: OECD 471 (Ames), In vitro mam: OECD 476, In vitro mam: OECD 490, In vivo mam: OECD 488, In vivo mam: OECD 486, In vivo mam: OECD 489,No data"</formula1>
    </dataValidation>
    <dataValidation type="list" allowBlank="1" showInputMessage="1" showErrorMessage="1" sqref="K6" xr:uid="{4372F9FD-0A06-074E-91BA-443ABDB1E4E5}">
      <formula1>"Checked,Not checked,Need QC"</formula1>
    </dataValidation>
    <dataValidation type="list" allowBlank="1" showInputMessage="1" sqref="C18:F18" xr:uid="{72E64A84-95BA-8345-AF1B-4389F1772B18}">
      <formula1>"Not listed,Carc. 1A: H350: May cause cancer,Carc. 1B: H350: May cause cancer,Carc. 2: H351: Suspected of causing cancer,MAK III 1,MAK III 2,MAK III 3B,MAK III 3A,MAK III 4,MAK III 5,IARC 1,IARC 2A,IARC 2B,IARC 3,IARC 4,TLV A1,TLV A2,TLV A3,TLV A4,TLV A5"</formula1>
    </dataValidation>
    <dataValidation type="list" allowBlank="1" showInputMessage="1" sqref="F25 F30" xr:uid="{E2C840E4-8C20-6D45-BA3B-C45CD956C4DC}">
      <formula1>"Positive,Negative"</formula1>
    </dataValidation>
    <dataValidation type="list" allowBlank="1" showInputMessage="1" showErrorMessage="1" sqref="B33 B37" xr:uid="{17ACCD63-CB56-BC4D-AEB8-6C3EEEB0A76A}">
      <formula1>"Oral NOAEL =,Inhalation NOAEL ="</formula1>
    </dataValidation>
    <dataValidation type="list" allowBlank="1" showInputMessage="1" showErrorMessage="1" sqref="C24:F24" xr:uid="{6F27453E-422F-7541-A1AF-DD9DDC026FA5}">
      <formula1>"Muta. 1A: H340: May cause genetic defects,Muta. 1B: H340: May cause genetic defects,Muta. 2: H341: Suspected of causing genetic defects,MAK IX 1,MAK IX 2,MAK IX 3A, MAK IX 3B, Not listed"</formula1>
    </dataValidation>
    <dataValidation type="list" allowBlank="1" showInputMessage="1" showErrorMessage="1" sqref="L115:L117 K18:L19 K21:L22 L32 K40:L41 L36 L43 L56 K24:L24 L68 K92:L93 K95:L96 K112:L113 K106:L107 K109:L110 K32:K34 K36:K38 K43:K47 K87:L87 K56:K60 K72:K73 K68:K70 K49:L49 K62:L62 K82:L82 K77:L77 L103:L104 L119 K115:K116 L72:L74 L98" xr:uid="{A4A96301-051D-D14C-9FE6-FCDC839A889A}">
      <formula1>"Manually set to: Green,Manually set to: Yellow,Manually set to: Red,Manually set to: Grey"</formula1>
    </dataValidation>
    <dataValidation type="list" allowBlank="1" showInputMessage="1" showErrorMessage="1" sqref="B51:B52" xr:uid="{94093411-51D0-5C43-8A4C-3C2477B29D68}">
      <formula1>"Acute: LC50 (gas) =,Acute: LC50 (vapor) =,Acute: LC50 (dust/mist/aerosol) ="</formula1>
    </dataValidation>
    <dataValidation type="list" allowBlank="1" showInputMessage="1" showErrorMessage="1" sqref="B53" xr:uid="{7BC26694-FBC5-1447-B32F-E7099683AC6D}">
      <formula1>"Chronic: LOAEL (gas) =,Chronic: LOAEL (vapor) =,Chronic: LOAEL (dust/mist/aerosol) ="</formula1>
    </dataValidation>
    <dataValidation type="list" allowBlank="1" showInputMessage="1" showErrorMessage="1" sqref="K98 K103:K104" xr:uid="{B119DA65-E324-394D-A790-C3EF2EF089C2}">
      <formula1>"Manually set to: Green,Manually set to: Yellow,Manually set to: Red,Manually set to: Grey,Manually set to: Purple"</formula1>
    </dataValidation>
    <dataValidation type="list" allowBlank="1" showInputMessage="1" showErrorMessage="1" sqref="C32 C36" xr:uid="{8EA7D896-979A-2F49-9297-842574B7EC63}">
      <formula1>"Not listed,Repr. 1A: H360: May damage fertility or the unborn child,Repr. 1B: H360: May damage fertility or the unborn child, Repr. 2: H361: Suspected of damaging fertility or the unborn child,MAK A,MAK B,MAK C"</formula1>
    </dataValidation>
    <dataValidation type="list" allowBlank="1" showInputMessage="1" showErrorMessage="1" sqref="C44" xr:uid="{930830BC-91BF-6947-90B4-C08A7A263044}">
      <formula1>"/,STOT SE 1: H370: Causes damage to organs via oral exposure,STOT SE 2: H371: May cause damage to organs via oral exposure,STOT RE 1: H372: Causes damage via repeated oral exposure,STOT RE 2: H373: May cause damage via repeated oral exposure"</formula1>
    </dataValidation>
    <dataValidation type="list" allowBlank="1" showInputMessage="1" showErrorMessage="1" sqref="C43" xr:uid="{E9B1D91B-C80B-1D4A-B202-CE702FA4C9CA}">
      <formula1>"Not classified, Acute Tox. 1: H300: Fatal if swallowed,Acute Tox. 2: H300: Fatal if swallowed,Acute Tox. 3: H301: Toxic if swallowed,Acute Tox. 4: H302: Harmful if swallowed,Asp. Tox. 1: H304: May be fatal if swallowed and enters airways"</formula1>
    </dataValidation>
    <dataValidation type="list" allowBlank="1" showInputMessage="1" showErrorMessage="1" sqref="C56" xr:uid="{3B54F493-729C-E740-A999-C44A6DD1AB1C}">
      <formula1>"Not classified,Acute Tox. 1: H310: Fatal in contact with skin,Acute Tox. 2: H310: Fatal in contact with skin,Acute Tox. 3: H311: Toxic in contact with skin,Acute Tox. 4: H312: Harmful in contact with skin"</formula1>
    </dataValidation>
    <dataValidation type="list" allowBlank="1" showInputMessage="1" showErrorMessage="1" sqref="C57" xr:uid="{FFB752F2-1D72-6749-B776-81E47B4FFE53}">
      <formula1>"/,STOT SE 1: H370: Causes damage to organs via dermal exposure,STOT SE 2: H371: May cause damage to organs via dermal exposure,STOT RE 1: H372: Causes damage via repeated dermal exposure,STOT RE 2: H373: May cause damage via repeated dermal exposure"</formula1>
    </dataValidation>
    <dataValidation type="list" allowBlank="1" showInputMessage="1" showErrorMessage="1" sqref="C62:F62" xr:uid="{B5757056-E0AB-C64D-883E-7A4A7C9F1D53}">
      <formula1>"Skin Corr. 1: H314 Causes severe skin burns and eye damage, Skin Irrit. 2: H315 Causes skin irritation, Not irritating according to testing,Skin irritating according to testing,Skin corrosive according to testing,No data"</formula1>
    </dataValidation>
    <dataValidation type="list" allowBlank="1" showInputMessage="1" showErrorMessage="1" sqref="C49" xr:uid="{3826686F-15B0-9946-B936-D2B74B7E8934}">
      <formula1>"Not classified,Acute Tox. 1: H330: Fatal if inhaled,Acute Tox. 2: H330: Fatal if inhaled,Acute Tox. 3: H331: Toxic if inhaled,Acute Tox. 4: H332: Harmful if inhaled"</formula1>
    </dataValidation>
    <dataValidation type="list" allowBlank="1" showInputMessage="1" showErrorMessage="1" sqref="C50" xr:uid="{464F7FD7-6947-EC46-9D22-A91CBE57C584}">
      <formula1>"/,STOT SE 1: H370: Damages organs via inhal. exp.,STOT SE 2: H371: May damage organs via inhal. exp.,STOT RE 1: H372: Damages organs via repeated inhal. exp.,STOT RE 2: H373: May damage organs via repeated inhal. exp.,STOT SE 3: H336: May cause drowsiness"</formula1>
    </dataValidation>
    <dataValidation allowBlank="1" showInputMessage="1" sqref="C30:E30" xr:uid="{61AC91F2-22A6-D544-903B-7FB2526332D4}"/>
    <dataValidation type="list" allowBlank="1" showInputMessage="1" showErrorMessage="1" sqref="F26:F29" xr:uid="{4185FC30-9586-A74B-9D0A-F29DE16B7FC5}">
      <formula1>"Positive,Negative"</formula1>
    </dataValidation>
    <dataValidation type="list" allowBlank="1" showInputMessage="1" showErrorMessage="1" sqref="C77:F77 C82:F82 C87:F87" xr:uid="{FE6BC73D-3F4E-B64D-BDAD-FBDF8D1D0CB1}">
      <formula1>"Not Classified,Aqua. Acute 1: H400,Aqua. Acute 2: H401,Aqua. Acute 3: H402,Aqua. Chronic 1: H410,Aqua. Chronic 2: H411,Aqua. Chronic 3: H412,Aqua. Chronic 4: H413"</formula1>
    </dataValidation>
    <dataValidation type="list" allowBlank="1" showInputMessage="1" sqref="C63:F63" xr:uid="{655D2D74-0CD2-9543-B039-F5725211DA4A}">
      <formula1>"Eye Dam. 1: H318 Causes serious eye damage,Eye irrit. 2a: H319 Causes serious eye irritation,Eye irrit. 2b: H320 Causes eye irritation,Not irritating according to testing,Eye irritating according to testing,Eye damaging according to testing,No data"</formula1>
    </dataValidation>
    <dataValidation type="list" allowBlank="1" showInputMessage="1" showErrorMessage="1" sqref="C64:F64" xr:uid="{B1ED5FD9-8FA7-BC43-9FE9-D00EEFD9B45A}">
      <formula1>"STOT SE 3: H335 May cause respiratory tract irritation, Not irritating according to testing, Irritating according to testing, Corrosive according to testing, No data"</formula1>
    </dataValidation>
    <dataValidation type="list" allowBlank="1" showInputMessage="1" showErrorMessage="1" sqref="B103:C103" xr:uid="{AEAB0131-9EEA-BB46-A516-468AF7519895}">
      <formula1>"% DOC biodegradation after 28 days:,% ThOD biodegradation after 28 days:,Substance is inherently biodegradable,Degradation halflife time in air:,Degradation halflife time in water, soil or sediment:,QSAR prediction:"</formula1>
    </dataValidation>
    <dataValidation type="list" allowBlank="1" showInputMessage="1" showErrorMessage="1" sqref="C68:F68" xr:uid="{EB997B18-B778-4B44-B4E2-A4422DF6AA8E}">
      <formula1>"Skin Sens. 1: H317 May cause an allergic skin reaction,MAK Sh,Not sensitzing according to testing,Sensitizing according to testing,No data"</formula1>
    </dataValidation>
    <dataValidation type="list" allowBlank="1" showInputMessage="1" showErrorMessage="1" sqref="C69:F69" xr:uid="{BFA938EC-A2B3-F74F-9989-784B9FE4559B}">
      <formula1>" Resp. Sens. 1: H334 May cause allergy or asthma symptoms or breathing difficulties if inhaled, MAK Sa, Not sensitzing according to testing, Sensitizing according to testing, No data"</formula1>
    </dataValidation>
  </dataValidations>
  <hyperlinks>
    <hyperlink ref="B133" r:id="rId1" xr:uid="{456D6FD3-CB18-6643-896E-3770C0BD18B8}"/>
    <hyperlink ref="B134" r:id="rId2" xr:uid="{032B5776-032D-7440-9D55-911D2EF109FD}"/>
    <hyperlink ref="B135" r:id="rId3" xr:uid="{69902BA8-2250-6548-AAF8-F619222D0D25}"/>
    <hyperlink ref="B136" r:id="rId4" xr:uid="{20C8A765-FF32-0F4F-8112-072E36356E42}"/>
    <hyperlink ref="B138" r:id="rId5" xr:uid="{C5CB661E-D503-2A4D-8669-88014E32AF87}"/>
    <hyperlink ref="B137" r:id="rId6" xr:uid="{F214B19F-EAE3-454C-8672-224C7CAE3E83}"/>
    <hyperlink ref="B139" r:id="rId7" xr:uid="{717E9E44-52E7-5640-A241-2BA4955DADA5}"/>
    <hyperlink ref="B140" r:id="rId8" xr:uid="{FE66E153-BE07-C442-9D9C-9801C66B70A1}"/>
    <hyperlink ref="B141" r:id="rId9" xr:uid="{A0C4609F-6033-1947-9AF7-D61F59E2E54C}"/>
    <hyperlink ref="B142" r:id="rId10" xr:uid="{1FEC9A99-0DDC-E245-A9E4-31617A6A7F10}"/>
    <hyperlink ref="B143" r:id="rId11" xr:uid="{C5481F3A-8882-DB49-AB9D-6D7B8A6751DF}"/>
    <hyperlink ref="B144" r:id="rId12" xr:uid="{8BB50188-C2A0-854D-A987-A014BE2B9C51}"/>
    <hyperlink ref="B145" r:id="rId13" xr:uid="{EB91893D-A1E5-2844-B3D7-BB952007ED1F}"/>
    <hyperlink ref="B146" r:id="rId14" xr:uid="{048D766F-398D-4744-9AF4-B89136B780D7}"/>
    <hyperlink ref="B147" r:id="rId15" xr:uid="{C1C42214-53AD-F942-A3D1-649C4CD0E9B9}"/>
    <hyperlink ref="B148" r:id="rId16" xr:uid="{F02726B5-366B-0E48-81D4-DC71F6E3BD8F}"/>
    <hyperlink ref="B149" r:id="rId17" xr:uid="{F10BB3A1-D7CC-F44E-8376-904BADAB1EDE}"/>
    <hyperlink ref="B150" r:id="rId18" xr:uid="{0A9FA89F-2606-AE45-90B4-A3ED62106E9E}"/>
    <hyperlink ref="B151" r:id="rId19" xr:uid="{7CE558CA-9D86-AA42-822E-F64292BA01F0}"/>
    <hyperlink ref="B152" r:id="rId20" xr:uid="{855C8D87-1ED3-5849-84D5-B84714EB49C2}"/>
    <hyperlink ref="B153" r:id="rId21" xr:uid="{7BA21DB4-4A5F-1041-8E54-E9BB79DBBC09}"/>
    <hyperlink ref="B156" r:id="rId22" xr:uid="{74680A9E-BCD9-D541-B484-E58A620856F8}"/>
  </hyperlinks>
  <pageMargins left="0.36000000000000004" right="0.36000000000000004" top="0.6100000000000001" bottom="0.6100000000000001" header="0.30000000000000004" footer="0.30000000000000004"/>
  <pageSetup paperSize="9" scale="58" orientation="portrait" horizontalDpi="4294967292" verticalDpi="4294967292"/>
  <headerFooter>
    <oddFooter>&amp;L&amp;"Calibri,Regular"&amp;K000000Chemical profiling sheet - 2014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68213-23-0</vt:lpstr>
      <vt:lpstr>'68213-23-0'!Print_Area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Karel Viaene</cp:lastModifiedBy>
  <dcterms:created xsi:type="dcterms:W3CDTF">2022-08-23T09:47:50Z</dcterms:created>
  <dcterms:modified xsi:type="dcterms:W3CDTF">2025-09-02T09:26:16Z</dcterms:modified>
</cp:coreProperties>
</file>