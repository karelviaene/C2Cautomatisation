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ara.lentink/Arche Dropbox/C2C/08_Chemical Profiling/"/>
    </mc:Choice>
  </mc:AlternateContent>
  <xr:revisionPtr revIDLastSave="0" documentId="13_ncr:1_{85911A9F-F336-D64B-81FF-EDB4DCC3CE5D}" xr6:coauthVersionLast="47" xr6:coauthVersionMax="47" xr10:uidLastSave="{00000000-0000-0000-0000-000000000000}"/>
  <bookViews>
    <workbookView xWindow="6380" yWindow="3300" windowWidth="26840" windowHeight="15940" xr2:uid="{0728D5DD-C02B-8C46-A6BD-1033A624F26C}"/>
  </bookViews>
  <sheets>
    <sheet name="616-47-7" sheetId="1" r:id="rId1"/>
  </sheets>
  <definedNames>
    <definedName name="Apparel">#REF!</definedName>
    <definedName name="Building_Materials">#REF!</definedName>
    <definedName name="CyclingScenario">#REF!</definedName>
    <definedName name="Home___Office_Supply">#REF!</definedName>
    <definedName name="Home_and_Office_Supply">#REF!</definedName>
    <definedName name="Interior_Design___Furniture">#REF!</definedName>
    <definedName name="Interior_Design_and_Furniture">#REF!</definedName>
    <definedName name="Liquid_Formulations">#REF!</definedName>
    <definedName name="Other">#REF!</definedName>
    <definedName name="Packaging___Single_Use_Products">#REF!</definedName>
    <definedName name="Packaging_and_Single_Use_Products">#REF!</definedName>
    <definedName name="Please_select">#REF!</definedName>
    <definedName name="Product_Category">#REF!</definedName>
    <definedName name="Product_or_Application">#REF!</definedName>
    <definedName name="Recyclable">#REF!</definedName>
    <definedName name="TN">#REF!</definedName>
    <definedName name="Y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2" i="1" l="1"/>
  <c r="B61" i="1"/>
  <c r="D49" i="1"/>
  <c r="D48" i="1"/>
  <c r="D34" i="1"/>
  <c r="D30" i="1"/>
</calcChain>
</file>

<file path=xl/sharedStrings.xml><?xml version="1.0" encoding="utf-8"?>
<sst xmlns="http://schemas.openxmlformats.org/spreadsheetml/2006/main" count="186" uniqueCount="133">
  <si>
    <t>Arche</t>
  </si>
  <si>
    <t>Client</t>
  </si>
  <si>
    <t>Project n°</t>
  </si>
  <si>
    <t>Product</t>
  </si>
  <si>
    <t>General information</t>
  </si>
  <si>
    <t>Molecular Formula</t>
  </si>
  <si>
    <t>Chemical name</t>
  </si>
  <si>
    <t>CAS number</t>
  </si>
  <si>
    <t>Name assessor</t>
  </si>
  <si>
    <t>Date</t>
  </si>
  <si>
    <t>Checked</t>
  </si>
  <si>
    <t>Not checked</t>
  </si>
  <si>
    <t xml:space="preserve"> </t>
  </si>
  <si>
    <t>Detailed profile matrix</t>
  </si>
  <si>
    <t>Criteria</t>
  </si>
  <si>
    <t>Value</t>
  </si>
  <si>
    <t>Resource</t>
  </si>
  <si>
    <t>Notifiers</t>
  </si>
  <si>
    <t>Hazard Assessment</t>
  </si>
  <si>
    <t>Risk Assessment</t>
  </si>
  <si>
    <t>HUMAN HEALTH</t>
  </si>
  <si>
    <t>Carcinogenicity</t>
  </si>
  <si>
    <t>Classified or listed:</t>
  </si>
  <si>
    <t>Not listed</t>
  </si>
  <si>
    <t>Disruption of endocrine system</t>
  </si>
  <si>
    <t>Mutagenicity/genotoxicity</t>
  </si>
  <si>
    <t>Point mutations: (OECD)</t>
  </si>
  <si>
    <t>Point mutations:</t>
  </si>
  <si>
    <t>Chromosome damaging:</t>
  </si>
  <si>
    <t>Reproductive toxicity</t>
  </si>
  <si>
    <t>Oral NOAEL =</t>
  </si>
  <si>
    <t>Development toxicity</t>
  </si>
  <si>
    <t>Neurotoxicity</t>
  </si>
  <si>
    <t>Oral toxicity</t>
  </si>
  <si>
    <t>Acute Tox classified:</t>
  </si>
  <si>
    <t>STOT classified:</t>
  </si>
  <si>
    <t>Acute: LD50 =</t>
  </si>
  <si>
    <t>mg/kg bw</t>
  </si>
  <si>
    <t>Chronic: LOAEL =</t>
  </si>
  <si>
    <t>mg/kg  bw/day</t>
  </si>
  <si>
    <t>Inhalative toxicity</t>
  </si>
  <si>
    <t>CLP classification:</t>
  </si>
  <si>
    <t>Acute: LC50 (vapor) =</t>
  </si>
  <si>
    <t>Chronic: LOAEL (vapor) =</t>
  </si>
  <si>
    <t>Dermal toxicity</t>
  </si>
  <si>
    <t>Acute classified:</t>
  </si>
  <si>
    <t>mg/kg  bw</t>
  </si>
  <si>
    <t>Skin, Eye, Respiratory corrosion/irritation</t>
  </si>
  <si>
    <t>Skin:</t>
  </si>
  <si>
    <t>Eye:</t>
  </si>
  <si>
    <t>Respiratory:</t>
  </si>
  <si>
    <t>Sensitization</t>
  </si>
  <si>
    <t>Inhalation:</t>
  </si>
  <si>
    <t>Other</t>
  </si>
  <si>
    <t>Assessment</t>
  </si>
  <si>
    <t>ENVIRONMENTAL HEALTH</t>
  </si>
  <si>
    <t>Fish toxicity</t>
  </si>
  <si>
    <t>Acute: LC50 (96h) =</t>
  </si>
  <si>
    <t>mg/L</t>
  </si>
  <si>
    <t>Chronic: NOEC =</t>
  </si>
  <si>
    <t>Water solubility:</t>
  </si>
  <si>
    <t>Invertebrate toxicity</t>
  </si>
  <si>
    <t>Acute: L(E)C50 (48h) =</t>
  </si>
  <si>
    <t>Algae toxicity</t>
  </si>
  <si>
    <t>Acute: L(E)C50 (72/96h) =</t>
  </si>
  <si>
    <t>Other species toxicity</t>
  </si>
  <si>
    <t>Terrestrial toxicity</t>
  </si>
  <si>
    <t>Bioaccumulation</t>
  </si>
  <si>
    <t>BCF/BAF (QSAR):</t>
  </si>
  <si>
    <t>Log kow:</t>
  </si>
  <si>
    <t>Molecular weight:</t>
  </si>
  <si>
    <t>g/mol</t>
  </si>
  <si>
    <t>Persistence</t>
  </si>
  <si>
    <t>% DOC biodegradation after 28 days:</t>
  </si>
  <si>
    <t>Climatic relevance/ozone depletion potential</t>
  </si>
  <si>
    <t>CHEMICAL CLASS</t>
  </si>
  <si>
    <t>Organohalogens</t>
  </si>
  <si>
    <t>Toxic metal</t>
  </si>
  <si>
    <t>Combined PB risk flag</t>
  </si>
  <si>
    <t>Combined aquatic risk flag</t>
  </si>
  <si>
    <t>OTHER INFORMATION</t>
  </si>
  <si>
    <t>VOC designation</t>
  </si>
  <si>
    <t>Molecular weight</t>
  </si>
  <si>
    <t>Boiling point</t>
  </si>
  <si>
    <t>Log kow (octanol-water partition coefficient)</t>
  </si>
  <si>
    <t>Vapor pressure</t>
  </si>
  <si>
    <t>Water solubility</t>
  </si>
  <si>
    <t>SMILES</t>
  </si>
  <si>
    <t>Literature sources</t>
  </si>
  <si>
    <t>IPCS INCHEM</t>
  </si>
  <si>
    <t>EPA Ecotox</t>
  </si>
  <si>
    <t>ECHA dessimination website</t>
  </si>
  <si>
    <t>eChemPortal</t>
  </si>
  <si>
    <t>IARC</t>
  </si>
  <si>
    <t>In Pharos</t>
  </si>
  <si>
    <t>ECHA C&amp;L inventory</t>
  </si>
  <si>
    <t>(In pharos)</t>
  </si>
  <si>
    <t>MAK</t>
  </si>
  <si>
    <t>HSBD</t>
  </si>
  <si>
    <t>Colborn list</t>
  </si>
  <si>
    <t>California Proposition 65 list</t>
  </si>
  <si>
    <t>Mundy</t>
  </si>
  <si>
    <t>HPVIS</t>
  </si>
  <si>
    <t>grandjean et al</t>
  </si>
  <si>
    <t>Montreal protocol</t>
  </si>
  <si>
    <t>IPCC</t>
  </si>
  <si>
    <t>EPA ozone depleting substance</t>
  </si>
  <si>
    <t>UBA WGK</t>
  </si>
  <si>
    <t>REACH restricted substances</t>
  </si>
  <si>
    <t>candidate list for SVHC</t>
  </si>
  <si>
    <t>POPs list of Stockholm convention</t>
  </si>
  <si>
    <t>Pharos</t>
  </si>
  <si>
    <t>Endocrine</t>
  </si>
  <si>
    <t>Excel table</t>
  </si>
  <si>
    <t>https://echa.europa.eu/information-on-chemicals</t>
  </si>
  <si>
    <t>Sarah Lentink</t>
  </si>
  <si>
    <t>616-47-7</t>
  </si>
  <si>
    <t>1-methylimidazole</t>
  </si>
  <si>
    <t>C4H6N2</t>
  </si>
  <si>
    <t>In vitro bact: OECD 471 (Ames)</t>
  </si>
  <si>
    <t>Negative</t>
  </si>
  <si>
    <t>In vitro mam: OECD 487</t>
  </si>
  <si>
    <t>ECHA diss</t>
  </si>
  <si>
    <t>waived: In accordance with column 2 of REACH Annex VIII, testing for acute inhalation toxicity is not necessary as the substance is classified as corrosive to the skin according to Directive 67/548/EEC (C, R34) and according to the EU Classification, Labelling and Packaging of Substances and Mixtures (CLP) Regulation (EC) No. 1272/2008 (H314, Category 1B).</t>
  </si>
  <si>
    <t>Manually set to: Grey</t>
  </si>
  <si>
    <t>Skin Corr. 1: H314 Causes severe skin burns and eye damage</t>
  </si>
  <si>
    <t>ECHA C&amp;L</t>
  </si>
  <si>
    <t>Eye Dam. 1: H318 Causes serious eye damage</t>
  </si>
  <si>
    <t>In accordance with column 2 of REACH Annex VIII, testing for skin sensitisation is not necessary as the substance is classified as corrosive to the skin according to the EU Classification, Labelling and Packaging of Substances and Mixtures (CLP) Regulation (EC) No. 1272/2008 (H314, Category 1B).</t>
  </si>
  <si>
    <t>1-methyl-1H-imidazole (CAS 616-47-7) is not readily biodegradable according to OECD criteria but inherently biodegradable after prolonged test duration.</t>
  </si>
  <si>
    <t>Manually set to: Yellow</t>
  </si>
  <si>
    <t>Manually set to: Green</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</si>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</sst>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2"/>
      <color theme="1"/>
      <name val="Aptos Narrow"/>
      <family val="2"/>
      <scheme val="minor"/>
    </font>
    <font>
      <b/>
      <sz val="12"/>
      <color theme="1"/>
      <name val="Aptos Narrow"/>
      <family val="2"/>
      <scheme val="minor"/>
    </font>
    <font>
      <u/>
      <sz val="12"/>
      <color theme="10"/>
      <name val="Aptos Narrow"/>
      <family val="2"/>
      <scheme val="minor"/>
    </font>
    <font>
      <u/>
      <sz val="12"/>
      <color theme="1"/>
      <name val="Aptos Narrow"/>
      <family val="2"/>
      <scheme val="minor"/>
    </font>
    <font>
      <sz val="12"/>
      <name val="Aptos Narrow"/>
      <family val="2"/>
      <scheme val="minor"/>
    </font>
    <font>
      <sz val="8"/>
      <color theme="1"/>
      <name val="Aptos Narrow"/>
      <family val="2"/>
      <scheme val="minor"/>
    </font>
    <font>
      <sz val="12"/>
      <color rgb="FF000000"/>
      <name val="Aptos Narrow"/>
      <family val="2"/>
      <scheme val="minor"/>
    </font>
    <font>
      <sz val="8"/>
      <name val="Aptos Narrow"/>
      <family val="2"/>
      <scheme val="minor"/>
    </font>
    <font>
      <strike/>
      <sz val="12"/>
      <color theme="1"/>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rgb="FFF3F7FF"/>
        <bgColor indexed="64"/>
      </patternFill>
    </fill>
    <fill>
      <patternFill patternType="solid">
        <fgColor theme="0"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rgb="FFFFFF00"/>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thin">
        <color indexed="64"/>
      </right>
      <top/>
      <bottom style="medium">
        <color auto="1"/>
      </bottom>
      <diagonal/>
    </border>
    <border>
      <left style="thin">
        <color auto="1"/>
      </left>
      <right style="medium">
        <color auto="1"/>
      </right>
      <top/>
      <bottom style="medium">
        <color auto="1"/>
      </bottom>
      <diagonal/>
    </border>
    <border>
      <left/>
      <right/>
      <top style="thin">
        <color auto="1"/>
      </top>
      <bottom/>
      <diagonal/>
    </border>
  </borders>
  <cellStyleXfs count="2">
    <xf numFmtId="0" fontId="0" fillId="0" borderId="0"/>
    <xf numFmtId="0" fontId="2" fillId="0" borderId="0" applyNumberFormat="0" applyFill="0" applyBorder="0" applyAlignment="0" applyProtection="0"/>
  </cellStyleXfs>
  <cellXfs count="125">
    <xf numFmtId="0" fontId="0" fillId="0" borderId="0" xfId="0"/>
    <xf numFmtId="0" fontId="1" fillId="0" borderId="0" xfId="0" applyFont="1"/>
    <xf numFmtId="0" fontId="3" fillId="0" borderId="0" xfId="0" applyFont="1" applyAlignment="1">
      <alignment horizontal="right"/>
    </xf>
    <xf numFmtId="0" fontId="3" fillId="0" borderId="0" xfId="0" applyFont="1"/>
    <xf numFmtId="0" fontId="0" fillId="2" borderId="0" xfId="0" applyFill="1"/>
    <xf numFmtId="0" fontId="0" fillId="2" borderId="0" xfId="0" applyFill="1" applyAlignment="1">
      <alignment horizontal="right"/>
    </xf>
    <xf numFmtId="0" fontId="0" fillId="0" borderId="0" xfId="0" applyAlignment="1">
      <alignment horizontal="right"/>
    </xf>
    <xf numFmtId="49" fontId="0" fillId="0" borderId="0" xfId="0" applyNumberFormat="1"/>
    <xf numFmtId="14" fontId="0" fillId="0" borderId="0" xfId="0" applyNumberFormat="1"/>
    <xf numFmtId="0" fontId="0" fillId="3" borderId="1" xfId="0" applyFill="1" applyBorder="1"/>
    <xf numFmtId="164" fontId="0" fillId="0" borderId="0" xfId="0" quotePrefix="1" applyNumberFormat="1" applyAlignment="1">
      <alignment horizontal="left"/>
    </xf>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center"/>
    </xf>
    <xf numFmtId="0" fontId="0" fillId="0" borderId="0" xfId="0" quotePrefix="1"/>
    <xf numFmtId="0" fontId="4" fillId="0" borderId="0" xfId="0" applyFont="1"/>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4" xfId="0" applyFont="1" applyBorder="1"/>
    <xf numFmtId="0" fontId="0" fillId="4" borderId="5" xfId="0" applyFill="1" applyBorder="1"/>
    <xf numFmtId="0" fontId="0" fillId="4" borderId="2" xfId="0" applyFill="1" applyBorder="1" applyAlignment="1">
      <alignment horizontal="right"/>
    </xf>
    <xf numFmtId="0" fontId="0" fillId="4" borderId="3" xfId="0" applyFill="1" applyBorder="1"/>
    <xf numFmtId="0" fontId="0" fillId="4" borderId="4" xfId="0" applyFill="1" applyBorder="1"/>
    <xf numFmtId="0" fontId="0" fillId="4" borderId="2" xfId="0" applyFill="1" applyBorder="1"/>
    <xf numFmtId="0" fontId="0" fillId="4" borderId="1"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4" borderId="8" xfId="0" applyFill="1" applyBorder="1"/>
    <xf numFmtId="0" fontId="0" fillId="4" borderId="0" xfId="0" applyFill="1"/>
    <xf numFmtId="0" fontId="0" fillId="4" borderId="10" xfId="0" applyFill="1" applyBorder="1"/>
    <xf numFmtId="0" fontId="5" fillId="4" borderId="10" xfId="0" applyFont="1" applyFill="1" applyBorder="1" applyAlignment="1">
      <alignment horizontal="center" wrapText="1"/>
    </xf>
    <xf numFmtId="0" fontId="5" fillId="4" borderId="10" xfId="0" applyFont="1" applyFill="1" applyBorder="1" applyAlignment="1">
      <alignment horizontal="center"/>
    </xf>
    <xf numFmtId="0" fontId="0" fillId="4" borderId="9" xfId="0" applyFill="1" applyBorder="1"/>
    <xf numFmtId="0" fontId="0" fillId="4" borderId="9" xfId="0" applyFill="1" applyBorder="1" applyAlignment="1">
      <alignment horizontal="right"/>
    </xf>
    <xf numFmtId="0" fontId="5" fillId="4" borderId="8" xfId="0" applyFont="1" applyFill="1" applyBorder="1" applyAlignment="1">
      <alignment wrapText="1"/>
    </xf>
    <xf numFmtId="0" fontId="5" fillId="4" borderId="8" xfId="0" applyFont="1" applyFill="1" applyBorder="1"/>
    <xf numFmtId="0" fontId="1" fillId="8" borderId="11" xfId="0" applyFont="1" applyFill="1" applyBorder="1"/>
    <xf numFmtId="0" fontId="0" fillId="5" borderId="1" xfId="0" applyFill="1" applyBorder="1"/>
    <xf numFmtId="0" fontId="5" fillId="4" borderId="8" xfId="0" applyFont="1" applyFill="1" applyBorder="1" applyAlignment="1">
      <alignment horizontal="center"/>
    </xf>
    <xf numFmtId="0" fontId="0" fillId="5" borderId="1" xfId="0" applyFill="1" applyBorder="1" applyAlignment="1">
      <alignment horizontal="right"/>
    </xf>
    <xf numFmtId="2" fontId="0" fillId="10" borderId="1" xfId="0" applyNumberFormat="1" applyFill="1" applyBorder="1"/>
    <xf numFmtId="0" fontId="5" fillId="4" borderId="8" xfId="0" applyFont="1" applyFill="1" applyBorder="1" applyAlignment="1">
      <alignment horizontal="center" wrapText="1"/>
    </xf>
    <xf numFmtId="0" fontId="0" fillId="4" borderId="8" xfId="0" applyFill="1" applyBorder="1" applyAlignment="1">
      <alignment horizontal="center"/>
    </xf>
    <xf numFmtId="0" fontId="0" fillId="0" borderId="9" xfId="0" applyBorder="1" applyAlignment="1">
      <alignment horizontal="right"/>
    </xf>
    <xf numFmtId="0" fontId="0" fillId="10" borderId="1" xfId="0" applyFill="1" applyBorder="1"/>
    <xf numFmtId="0" fontId="0" fillId="0" borderId="0" xfId="0" applyAlignment="1">
      <alignment horizontal="left" vertical="center"/>
    </xf>
    <xf numFmtId="0" fontId="0" fillId="0" borderId="12" xfId="0" applyBorder="1"/>
    <xf numFmtId="0" fontId="0" fillId="0" borderId="13" xfId="0" applyBorder="1" applyAlignment="1">
      <alignment horizontal="right"/>
    </xf>
    <xf numFmtId="0" fontId="0" fillId="0" borderId="13" xfId="0" applyBorder="1"/>
    <xf numFmtId="0" fontId="0" fillId="0" borderId="14" xfId="0" applyBorder="1"/>
    <xf numFmtId="0" fontId="0" fillId="0" borderId="3" xfId="0" applyBorder="1"/>
    <xf numFmtId="0" fontId="5" fillId="0" borderId="3" xfId="0" applyFont="1" applyBorder="1" applyAlignment="1">
      <alignment horizontal="center"/>
    </xf>
    <xf numFmtId="0" fontId="0" fillId="2" borderId="1" xfId="0" applyFill="1" applyBorder="1"/>
    <xf numFmtId="0" fontId="0" fillId="2" borderId="2" xfId="0" applyFill="1" applyBorder="1" applyAlignment="1">
      <alignment horizontal="right"/>
    </xf>
    <xf numFmtId="0" fontId="0" fillId="2" borderId="3" xfId="0" applyFill="1" applyBorder="1"/>
    <xf numFmtId="0" fontId="0" fillId="2" borderId="4" xfId="0" applyFill="1" applyBorder="1"/>
    <xf numFmtId="0" fontId="0" fillId="2" borderId="2" xfId="0" applyFill="1" applyBorder="1"/>
    <xf numFmtId="0" fontId="6" fillId="0" borderId="0" xfId="0" applyFont="1"/>
    <xf numFmtId="3" fontId="0" fillId="10" borderId="1" xfId="0" applyNumberFormat="1" applyFill="1" applyBorder="1"/>
    <xf numFmtId="0" fontId="0" fillId="10" borderId="5" xfId="0" applyFill="1" applyBorder="1"/>
    <xf numFmtId="0" fontId="0" fillId="0" borderId="0" xfId="0" applyAlignment="1">
      <alignment horizontal="right" vertical="center"/>
    </xf>
    <xf numFmtId="0" fontId="0" fillId="2" borderId="3" xfId="0" applyFill="1" applyBorder="1" applyAlignment="1">
      <alignment horizontal="right"/>
    </xf>
    <xf numFmtId="0" fontId="5" fillId="2" borderId="4" xfId="0" applyFont="1" applyFill="1" applyBorder="1" applyAlignment="1">
      <alignment wrapText="1"/>
    </xf>
    <xf numFmtId="0" fontId="5" fillId="4" borderId="9" xfId="0" applyFont="1" applyFill="1" applyBorder="1" applyAlignment="1">
      <alignment horizontal="center" wrapText="1"/>
    </xf>
    <xf numFmtId="0" fontId="0" fillId="4" borderId="10" xfId="0" applyFill="1" applyBorder="1" applyAlignment="1">
      <alignment horizontal="center"/>
    </xf>
    <xf numFmtId="0" fontId="0" fillId="0" borderId="16" xfId="0" applyBorder="1"/>
    <xf numFmtId="0" fontId="0" fillId="0" borderId="17" xfId="0" applyBorder="1"/>
    <xf numFmtId="0" fontId="0" fillId="0" borderId="19" xfId="0" applyBorder="1"/>
    <xf numFmtId="0" fontId="0" fillId="0" borderId="21" xfId="0" applyBorder="1"/>
    <xf numFmtId="0" fontId="0" fillId="0" borderId="23" xfId="0" applyBorder="1"/>
    <xf numFmtId="0" fontId="0" fillId="0" borderId="24" xfId="0" applyBorder="1"/>
    <xf numFmtId="0" fontId="0" fillId="0" borderId="6" xfId="0" applyBorder="1" applyAlignment="1">
      <alignment horizontal="right"/>
    </xf>
    <xf numFmtId="0" fontId="0" fillId="0" borderId="26" xfId="0" applyBorder="1"/>
    <xf numFmtId="0" fontId="0" fillId="0" borderId="9" xfId="0" applyBorder="1" applyAlignment="1">
      <alignment horizontal="right" wrapText="1"/>
    </xf>
    <xf numFmtId="0" fontId="0" fillId="0" borderId="15" xfId="0" applyBorder="1" applyAlignment="1">
      <alignment horizontal="right"/>
    </xf>
    <xf numFmtId="0" fontId="2" fillId="0" borderId="0" xfId="1" applyAlignment="1">
      <alignment horizontal="right"/>
    </xf>
    <xf numFmtId="0" fontId="2" fillId="0" borderId="0" xfId="1" applyFill="1" applyBorder="1" applyAlignment="1">
      <alignment horizontal="right"/>
    </xf>
    <xf numFmtId="0" fontId="8" fillId="0" borderId="0" xfId="0" applyFont="1"/>
    <xf numFmtId="0" fontId="2" fillId="11" borderId="0" xfId="1" applyFill="1" applyBorder="1" applyAlignment="1">
      <alignment horizontal="right"/>
    </xf>
    <xf numFmtId="0" fontId="0" fillId="11" borderId="0" xfId="0" applyFill="1"/>
    <xf numFmtId="16" fontId="0" fillId="11" borderId="0" xfId="0" applyNumberFormat="1" applyFill="1"/>
    <xf numFmtId="0" fontId="5" fillId="0" borderId="6" xfId="0" applyFont="1" applyBorder="1" applyAlignment="1">
      <alignment horizontal="center"/>
    </xf>
    <xf numFmtId="0" fontId="5" fillId="0" borderId="7" xfId="0" applyFont="1" applyBorder="1" applyAlignment="1">
      <alignment horizontal="center"/>
    </xf>
    <xf numFmtId="0" fontId="5" fillId="0" borderId="15" xfId="0" applyFont="1" applyBorder="1" applyAlignment="1">
      <alignment horizontal="center"/>
    </xf>
    <xf numFmtId="0" fontId="5" fillId="0" borderId="12"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7" fillId="0" borderId="18" xfId="0" applyFont="1" applyBorder="1" applyAlignment="1">
      <alignment horizontal="center"/>
    </xf>
    <xf numFmtId="0" fontId="7" fillId="0" borderId="20" xfId="0" applyFont="1" applyBorder="1" applyAlignment="1">
      <alignment horizontal="center"/>
    </xf>
    <xf numFmtId="0" fontId="7" fillId="0" borderId="22" xfId="0" applyFont="1" applyBorder="1" applyAlignment="1">
      <alignment horizontal="center"/>
    </xf>
    <xf numFmtId="0" fontId="7" fillId="0" borderId="25" xfId="0" applyFont="1" applyBorder="1" applyAlignment="1">
      <alignment horizontal="center"/>
    </xf>
    <xf numFmtId="0" fontId="0" fillId="5" borderId="2" xfId="0" applyFill="1" applyBorder="1" applyAlignment="1">
      <alignment horizontal="left"/>
    </xf>
    <xf numFmtId="0" fontId="0" fillId="5" borderId="4" xfId="0" applyFill="1" applyBorder="1" applyAlignment="1">
      <alignment horizontal="left"/>
    </xf>
    <xf numFmtId="0" fontId="5" fillId="0" borderId="8" xfId="0" applyFont="1" applyBorder="1" applyAlignment="1">
      <alignment horizontal="center" wrapText="1"/>
    </xf>
    <xf numFmtId="0" fontId="5" fillId="0" borderId="8" xfId="0" applyFont="1" applyBorder="1" applyAlignment="1">
      <alignment horizontal="center"/>
    </xf>
    <xf numFmtId="0" fontId="5" fillId="11" borderId="8" xfId="0" applyFont="1" applyFill="1" applyBorder="1" applyAlignment="1">
      <alignment horizontal="center" wrapText="1"/>
    </xf>
    <xf numFmtId="0" fontId="5" fillId="6" borderId="8" xfId="0" applyFont="1" applyFill="1" applyBorder="1" applyAlignment="1">
      <alignment horizontal="center" wrapText="1"/>
    </xf>
    <xf numFmtId="0" fontId="5" fillId="6" borderId="14" xfId="0" applyFont="1" applyFill="1" applyBorder="1" applyAlignment="1">
      <alignment horizontal="center" wrapText="1"/>
    </xf>
    <xf numFmtId="0" fontId="5" fillId="0" borderId="14" xfId="0" applyFont="1" applyBorder="1" applyAlignment="1">
      <alignment horizontal="center"/>
    </xf>
    <xf numFmtId="0" fontId="0" fillId="5" borderId="2" xfId="0" applyFill="1" applyBorder="1" applyAlignment="1">
      <alignment horizontal="left" wrapText="1"/>
    </xf>
    <xf numFmtId="0" fontId="0" fillId="5" borderId="3" xfId="0" applyFill="1" applyBorder="1" applyAlignment="1">
      <alignment horizontal="left" wrapText="1"/>
    </xf>
    <xf numFmtId="0" fontId="0" fillId="5" borderId="4" xfId="0" applyFill="1" applyBorder="1" applyAlignment="1">
      <alignment horizontal="left" wrapText="1"/>
    </xf>
    <xf numFmtId="0" fontId="5" fillId="0" borderId="5" xfId="0" applyFont="1" applyBorder="1" applyAlignment="1">
      <alignment horizontal="center" wrapText="1"/>
    </xf>
    <xf numFmtId="0" fontId="1" fillId="0" borderId="2" xfId="0" applyFont="1" applyBorder="1" applyAlignment="1">
      <alignment horizontal="left"/>
    </xf>
    <xf numFmtId="0" fontId="1" fillId="0" borderId="4" xfId="0" applyFont="1" applyBorder="1" applyAlignment="1">
      <alignment horizontal="left"/>
    </xf>
    <xf numFmtId="0" fontId="5" fillId="0" borderId="5" xfId="0" applyFont="1" applyBorder="1" applyAlignment="1">
      <alignment horizontal="center"/>
    </xf>
    <xf numFmtId="0" fontId="0" fillId="5" borderId="3" xfId="0" applyFill="1" applyBorder="1" applyAlignment="1">
      <alignment horizontal="left"/>
    </xf>
    <xf numFmtId="0" fontId="5" fillId="0" borderId="10" xfId="0" applyFont="1" applyBorder="1" applyAlignment="1">
      <alignment horizontal="center" wrapText="1"/>
    </xf>
    <xf numFmtId="0" fontId="5" fillId="6" borderId="8" xfId="0" applyFont="1" applyFill="1" applyBorder="1" applyAlignment="1">
      <alignment horizontal="center"/>
    </xf>
    <xf numFmtId="0" fontId="5" fillId="7" borderId="8" xfId="0" applyFont="1" applyFill="1" applyBorder="1" applyAlignment="1">
      <alignment horizontal="center" wrapText="1"/>
    </xf>
    <xf numFmtId="0" fontId="5" fillId="9" borderId="8" xfId="0" applyFont="1" applyFill="1" applyBorder="1" applyAlignment="1">
      <alignment horizontal="center" wrapText="1"/>
    </xf>
    <xf numFmtId="0" fontId="0" fillId="0" borderId="0" xfId="0"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5" fillId="6" borderId="5" xfId="0" applyFont="1" applyFill="1" applyBorder="1" applyAlignment="1">
      <alignment horizontal="center" wrapText="1"/>
    </xf>
    <xf numFmtId="0" fontId="0" fillId="0" borderId="0" xfId="0" applyAlignment="1">
      <alignment horizontal="fill"/>
    </xf>
    <xf numFmtId="0" fontId="0" fillId="0" borderId="10" xfId="0" applyBorder="1" applyAlignment="1">
      <alignment horizontal="fill"/>
    </xf>
    <xf numFmtId="0" fontId="0" fillId="0" borderId="0" xfId="0" applyAlignment="1">
      <alignment horizontal="fill" wrapText="1"/>
    </xf>
  </cellXfs>
  <cellStyles count="2">
    <cellStyle name="Hyperlink" xfId="1" builtinId="8"/>
    <cellStyle name="Normal" xfId="0" builtinId="0"/>
  </cellStyles>
  <dxfs count="328">
    <dxf>
      <fill>
        <patternFill>
          <bgColor rgb="FFFF0000"/>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theme="0" tint="-0.24994659260841701"/>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0" tint="-0.24994659260841701"/>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theme="0" tint="-0.24994659260841701"/>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7F3FCC"/>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7F3FCC"/>
        </patternFill>
      </fill>
    </dxf>
    <dxf>
      <fill>
        <patternFill>
          <bgColor theme="0" tint="-0.24994659260841701"/>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7F3FCC"/>
        </patternFill>
      </fill>
    </dxf>
    <dxf>
      <fill>
        <patternFill>
          <bgColor rgb="FF7F3FCC"/>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theme="0" tint="-0.2499465926084170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patternType="solid">
          <bgColor rgb="FFFFFF00"/>
        </patternFill>
      </fill>
    </dxf>
    <dxf>
      <fill>
        <patternFill patternType="solid">
          <bgColor rgb="FFFF0000"/>
        </patternFill>
      </fill>
    </dxf>
    <dxf>
      <fill>
        <patternFill>
          <fgColor rgb="FF00B050"/>
          <bgColor rgb="FF00B050"/>
        </patternFill>
      </fill>
    </dxf>
    <dxf>
      <fill>
        <patternFill>
          <bgColor rgb="FFFF0000"/>
        </patternFill>
      </fill>
    </dxf>
    <dxf>
      <fill>
        <patternFill>
          <bgColor rgb="FFFFFF00"/>
        </patternFill>
      </fill>
    </dxf>
    <dxf>
      <fill>
        <patternFill>
          <fgColor rgb="FF00B050"/>
          <bgColor rgb="FF00B050"/>
        </patternFill>
      </fill>
    </dxf>
    <dxf>
      <fill>
        <patternFill>
          <bgColor rgb="FFFF0000"/>
        </patternFill>
      </fill>
    </dxf>
    <dxf>
      <fill>
        <patternFill>
          <bgColor rgb="FF00B050"/>
        </patternFill>
      </fill>
    </dxf>
    <dxf>
      <fill>
        <patternFill>
          <bgColor rgb="FFFFFF00"/>
        </patternFill>
      </fill>
    </dxf>
    <dxf>
      <fill>
        <patternFill>
          <bgColor theme="0" tint="-0.24994659260841701"/>
        </patternFill>
      </fill>
    </dxf>
    <dxf>
      <fill>
        <patternFill>
          <bgColor rgb="FFFF0000"/>
        </patternFill>
      </fill>
    </dxf>
    <dxf>
      <fill>
        <patternFill>
          <fgColor rgb="FF00B050"/>
          <bgColor rgb="FF00B050"/>
        </patternFill>
      </fill>
    </dxf>
    <dxf>
      <fill>
        <patternFill>
          <bgColor rgb="FFFFFF00"/>
        </patternFill>
      </fill>
    </dxf>
    <dxf>
      <fill>
        <patternFill>
          <bgColor rgb="FFFFFF00"/>
        </patternFill>
      </fill>
    </dxf>
    <dxf>
      <fill>
        <patternFill>
          <fgColor rgb="FF00B050"/>
          <bgColor rgb="FF00B050"/>
        </patternFill>
      </fill>
    </dxf>
    <dxf>
      <fill>
        <patternFill>
          <bgColor rgb="FFFF0000"/>
        </patternFill>
      </fill>
    </dxf>
    <dxf>
      <fill>
        <patternFill patternType="solid">
          <bgColor rgb="FFFFFF00"/>
        </patternFill>
      </fill>
    </dxf>
    <dxf>
      <fill>
        <patternFill patternType="solid">
          <bgColor rgb="FFFF0000"/>
        </patternFill>
      </fill>
    </dxf>
    <dxf>
      <fill>
        <patternFill>
          <bgColor theme="0" tint="-0.24994659260841701"/>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3F7FF"/>
        </patternFill>
      </fill>
      <border>
        <left style="thin">
          <color auto="1"/>
        </left>
        <right style="thin">
          <color auto="1"/>
        </right>
        <top style="thin">
          <color auto="1"/>
        </top>
        <bottom style="thin">
          <color auto="1"/>
        </bottom>
        <vertical/>
        <horizontal/>
      </border>
    </dxf>
    <dxf>
      <fill>
        <patternFill>
          <bgColor rgb="FFF3F7FF"/>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6</xdr:row>
      <xdr:rowOff>152400</xdr:rowOff>
    </xdr:from>
    <xdr:to>
      <xdr:col>0</xdr:col>
      <xdr:colOff>1549400</xdr:colOff>
      <xdr:row>12</xdr:row>
      <xdr:rowOff>330200</xdr:rowOff>
    </xdr:to>
    <xdr:pic>
      <xdr:nvPicPr>
        <xdr:cNvPr id="2" name="Picture 1" descr="formula">
          <a:extLst>
            <a:ext uri="{FF2B5EF4-FFF2-40B4-BE49-F238E27FC236}">
              <a16:creationId xmlns:a16="http://schemas.microsoft.com/office/drawing/2014/main" id="{AC0402BD-01C4-2D51-F4A9-E3792E8D5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371600"/>
          <a:ext cx="139700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toxnet.nlm.nih.gov/cgi-bin/sis/htmlgen?HSDB" TargetMode="External"/><Relationship Id="rId13" Type="http://schemas.openxmlformats.org/officeDocument/2006/relationships/hyperlink" Target="file:///var/folders/_k/bkfyrth50_s35ywj3s36hy700000gp/T/Templates/databases/grandjean.pdf" TargetMode="External"/><Relationship Id="rId18" Type="http://schemas.openxmlformats.org/officeDocument/2006/relationships/hyperlink" Target="http://echa.europa.eu/addressing-chemicals-of-concern/restrictions/list-of-restrictions" TargetMode="External"/><Relationship Id="rId3" Type="http://schemas.openxmlformats.org/officeDocument/2006/relationships/hyperlink" Target="http://echa.europa.eu/web/guest/information-on-chemicals/registered-substances" TargetMode="External"/><Relationship Id="rId21" Type="http://schemas.openxmlformats.org/officeDocument/2006/relationships/hyperlink" Target="https://www.pharosproject.net/" TargetMode="External"/><Relationship Id="rId7" Type="http://schemas.openxmlformats.org/officeDocument/2006/relationships/hyperlink" Target="http://onlinelibrary.wiley.com/book/10.1002/9783527666034" TargetMode="External"/><Relationship Id="rId12" Type="http://schemas.openxmlformats.org/officeDocument/2006/relationships/hyperlink" Target="http://www.epa.gov/hpvis/" TargetMode="External"/><Relationship Id="rId17" Type="http://schemas.openxmlformats.org/officeDocument/2006/relationships/hyperlink" Target="http://webrigoletto.uba.de/rigoletto/public/searchRequest.do?event=request" TargetMode="External"/><Relationship Id="rId2" Type="http://schemas.openxmlformats.org/officeDocument/2006/relationships/hyperlink" Target="http://cfpub.epa.gov/ecotox/" TargetMode="External"/><Relationship Id="rId16" Type="http://schemas.openxmlformats.org/officeDocument/2006/relationships/hyperlink" Target="http://www.epa.gov/ozone/geninfo/gwps.html" TargetMode="External"/><Relationship Id="rId20" Type="http://schemas.openxmlformats.org/officeDocument/2006/relationships/hyperlink" Target="http://chm.pops.int/Convention/ThePOPs/ListingofPOPs/tabid/2509/Default.aspx" TargetMode="External"/><Relationship Id="rId1" Type="http://schemas.openxmlformats.org/officeDocument/2006/relationships/hyperlink" Target="http://www.inchem.org/" TargetMode="External"/><Relationship Id="rId6" Type="http://schemas.openxmlformats.org/officeDocument/2006/relationships/hyperlink" Target="https://monographs.iarc.fr/list-of-classifications" TargetMode="External"/><Relationship Id="rId11" Type="http://schemas.openxmlformats.org/officeDocument/2006/relationships/hyperlink" Target="file:///var/folders/_k/bkfyrth50_s35ywj3s36hy700000gp/T/Templates/databases/EPA_mundy_list%20.xlsx" TargetMode="External"/><Relationship Id="rId5" Type="http://schemas.openxmlformats.org/officeDocument/2006/relationships/hyperlink" Target="http://echa.europa.eu/ja/regulations/clp/cl-inventory" TargetMode="External"/><Relationship Id="rId15" Type="http://schemas.openxmlformats.org/officeDocument/2006/relationships/hyperlink" Target="http://www.grida.no/publications/other/ipcc_tar/?src=/climate/ipcc_tar/wg1/248.htm" TargetMode="External"/><Relationship Id="rId23" Type="http://schemas.openxmlformats.org/officeDocument/2006/relationships/drawing" Target="../drawings/drawing1.xml"/><Relationship Id="rId10" Type="http://schemas.openxmlformats.org/officeDocument/2006/relationships/hyperlink" Target="http://oehha.ca.gov/prop65/prop65_list/newlist.html" TargetMode="External"/><Relationship Id="rId19" Type="http://schemas.openxmlformats.org/officeDocument/2006/relationships/hyperlink" Target="http://echa.europa.eu/nl/candidate-list-table" TargetMode="External"/><Relationship Id="rId4" Type="http://schemas.openxmlformats.org/officeDocument/2006/relationships/hyperlink" Target="https://www.echemportal.org/echemportal/substance-search" TargetMode="External"/><Relationship Id="rId9" Type="http://schemas.openxmlformats.org/officeDocument/2006/relationships/hyperlink" Target="http://www.ourstolenfuture.com/Basics/chemlist.htm" TargetMode="External"/><Relationship Id="rId14" Type="http://schemas.openxmlformats.org/officeDocument/2006/relationships/hyperlink" Target="http://www.epa.gov/ozone/science/ods/index.html" TargetMode="External"/><Relationship Id="rId22" Type="http://schemas.openxmlformats.org/officeDocument/2006/relationships/hyperlink" Target="https://echa.europa.eu/information-on-chemic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9276-FF55-1F41-AEA8-3E6BBFC8D8FD}">
  <dimension ref="A1:L155"/>
  <sheetViews>
    <sheetView tabSelected="1" topLeftCell="A83" workbookViewId="0">
      <selection activeCell="H116" sqref="H116"/>
    </sheetView>
  </sheetViews>
  <sheetFormatPr baseColWidth="10" defaultRowHeight="16" x14ac:dyDescent="0.2"/>
  <cols>
    <col min="1" max="1" width="37.83203125" bestFit="1" customWidth="1"/>
    <col min="2" max="2" width="24.6640625" style="6" customWidth="1"/>
    <col min="3" max="3" width="14.5" customWidth="1"/>
    <col min="5" max="5" width="6.83203125" customWidth="1"/>
    <col min="6" max="6" width="26.83203125" customWidth="1"/>
    <col min="7" max="7" width="5.6640625" customWidth="1"/>
    <col min="8" max="8" width="19.33203125" customWidth="1"/>
    <col min="9" max="9" width="11.1640625" customWidth="1"/>
    <col min="10" max="10" width="12.83203125" customWidth="1"/>
    <col min="11" max="11" width="17.83203125" customWidth="1"/>
    <col min="12" max="12" width="17" customWidth="1"/>
  </cols>
  <sheetData>
    <row r="1" spans="1:12" x14ac:dyDescent="0.2">
      <c r="A1" s="1" t="s">
        <v>0</v>
      </c>
      <c r="B1" s="2" t="s">
        <v>1</v>
      </c>
      <c r="C1" s="3"/>
      <c r="D1" s="3"/>
      <c r="F1" s="3" t="s">
        <v>2</v>
      </c>
      <c r="G1" s="3"/>
      <c r="H1" s="3" t="s">
        <v>3</v>
      </c>
    </row>
    <row r="3" spans="1:12" x14ac:dyDescent="0.2">
      <c r="A3" s="4" t="s">
        <v>4</v>
      </c>
      <c r="B3" s="5"/>
      <c r="C3" s="4"/>
      <c r="D3" s="4"/>
      <c r="E3" s="4"/>
      <c r="F3" s="4"/>
      <c r="G3" s="4"/>
      <c r="H3" s="4"/>
      <c r="I3" s="4"/>
      <c r="J3" s="4"/>
      <c r="K3" s="4"/>
    </row>
    <row r="4" spans="1:12" x14ac:dyDescent="0.2">
      <c r="A4" s="1"/>
    </row>
    <row r="5" spans="1:12" x14ac:dyDescent="0.2">
      <c r="A5" s="3" t="s">
        <v>5</v>
      </c>
      <c r="B5" s="2" t="s">
        <v>6</v>
      </c>
      <c r="D5" s="3"/>
      <c r="F5" s="3" t="s">
        <v>7</v>
      </c>
      <c r="G5" s="3"/>
      <c r="H5" s="3" t="s">
        <v>8</v>
      </c>
      <c r="I5" s="3" t="s">
        <v>9</v>
      </c>
      <c r="J5" s="3"/>
      <c r="K5" s="3" t="s">
        <v>10</v>
      </c>
      <c r="L5" s="3"/>
    </row>
    <row r="6" spans="1:12" ht="16" customHeight="1" x14ac:dyDescent="0.2">
      <c r="A6" t="s">
        <v>118</v>
      </c>
      <c r="B6" s="117" t="s">
        <v>117</v>
      </c>
      <c r="C6" s="117"/>
      <c r="D6" s="117"/>
      <c r="F6" s="7" t="s">
        <v>116</v>
      </c>
      <c r="G6" s="3"/>
      <c r="H6" t="s">
        <v>115</v>
      </c>
      <c r="I6" s="8">
        <v>45853</v>
      </c>
      <c r="J6" s="3"/>
      <c r="K6" s="9" t="s">
        <v>11</v>
      </c>
      <c r="L6" s="3"/>
    </row>
    <row r="7" spans="1:12" x14ac:dyDescent="0.2">
      <c r="B7" s="117"/>
      <c r="C7" s="117"/>
      <c r="D7" s="117"/>
      <c r="F7" s="7"/>
      <c r="I7" s="10"/>
      <c r="J7" s="11"/>
    </row>
    <row r="8" spans="1:12" x14ac:dyDescent="0.2">
      <c r="B8" s="12" t="s">
        <v>12</v>
      </c>
      <c r="C8" s="13"/>
      <c r="F8" s="7"/>
      <c r="I8" s="10"/>
      <c r="J8" s="11"/>
    </row>
    <row r="9" spans="1:12" x14ac:dyDescent="0.2">
      <c r="C9" s="13"/>
      <c r="F9" s="7"/>
      <c r="I9" s="10"/>
      <c r="J9" s="11"/>
    </row>
    <row r="10" spans="1:12" x14ac:dyDescent="0.2">
      <c r="C10" s="13"/>
      <c r="E10" s="6"/>
      <c r="F10" s="7"/>
      <c r="I10" s="10"/>
      <c r="J10" s="11"/>
    </row>
    <row r="11" spans="1:12" x14ac:dyDescent="0.2">
      <c r="C11" s="13"/>
      <c r="D11" s="14"/>
      <c r="F11" s="7"/>
      <c r="I11" s="10"/>
      <c r="J11" s="11"/>
    </row>
    <row r="12" spans="1:12" x14ac:dyDescent="0.2">
      <c r="E12" s="14"/>
      <c r="F12" s="7"/>
      <c r="I12" s="11"/>
      <c r="J12" s="11"/>
      <c r="K12" s="11"/>
    </row>
    <row r="13" spans="1:12" ht="51" customHeight="1" x14ac:dyDescent="0.2">
      <c r="C13" s="15"/>
      <c r="F13" s="7"/>
    </row>
    <row r="14" spans="1:12" x14ac:dyDescent="0.2">
      <c r="A14" s="4" t="s">
        <v>13</v>
      </c>
      <c r="B14" s="5"/>
      <c r="C14" s="4"/>
      <c r="D14" s="4"/>
      <c r="E14" s="4"/>
      <c r="F14" s="4"/>
      <c r="G14" s="4"/>
      <c r="H14" s="4"/>
      <c r="I14" s="4"/>
      <c r="J14" s="4"/>
      <c r="K14" s="4"/>
    </row>
    <row r="16" spans="1:12" x14ac:dyDescent="0.2">
      <c r="A16" s="16" t="s">
        <v>14</v>
      </c>
      <c r="B16" s="118" t="s">
        <v>15</v>
      </c>
      <c r="C16" s="119"/>
      <c r="D16" s="119"/>
      <c r="E16" s="119"/>
      <c r="F16" s="119"/>
      <c r="G16" s="120"/>
      <c r="H16" s="109" t="s">
        <v>16</v>
      </c>
      <c r="I16" s="110"/>
      <c r="J16" s="20" t="s">
        <v>17</v>
      </c>
      <c r="K16" s="16" t="s">
        <v>18</v>
      </c>
      <c r="L16" s="16" t="s">
        <v>19</v>
      </c>
    </row>
    <row r="17" spans="1:12" x14ac:dyDescent="0.2">
      <c r="A17" s="21" t="s">
        <v>20</v>
      </c>
      <c r="B17" s="22"/>
      <c r="C17" s="23"/>
      <c r="D17" s="23"/>
      <c r="E17" s="23"/>
      <c r="F17" s="23"/>
      <c r="G17" s="24"/>
      <c r="H17" s="25"/>
      <c r="I17" s="24"/>
      <c r="J17" s="24"/>
      <c r="K17" s="26"/>
      <c r="L17" s="26"/>
    </row>
    <row r="18" spans="1:12" x14ac:dyDescent="0.2">
      <c r="A18" s="27" t="s">
        <v>21</v>
      </c>
      <c r="B18" s="6" t="s">
        <v>22</v>
      </c>
      <c r="C18" s="97" t="s">
        <v>23</v>
      </c>
      <c r="D18" s="112"/>
      <c r="E18" s="112"/>
      <c r="F18" s="98"/>
      <c r="H18" s="28"/>
      <c r="I18" s="29"/>
      <c r="J18" s="27"/>
      <c r="K18" s="121"/>
      <c r="L18" s="100"/>
    </row>
    <row r="19" spans="1:12" x14ac:dyDescent="0.2">
      <c r="A19" s="30"/>
      <c r="H19" s="31"/>
      <c r="I19" s="32"/>
      <c r="J19" s="30"/>
      <c r="K19" s="102"/>
      <c r="L19" s="100"/>
    </row>
    <row r="20" spans="1:12" ht="8" customHeight="1" x14ac:dyDescent="0.2">
      <c r="A20" s="33"/>
      <c r="B20" s="34"/>
      <c r="C20" s="34"/>
      <c r="D20" s="34"/>
      <c r="E20" s="34"/>
      <c r="F20" s="34"/>
      <c r="G20" s="35"/>
      <c r="H20" s="34"/>
      <c r="I20" s="35"/>
      <c r="J20" s="33"/>
      <c r="K20" s="36"/>
      <c r="L20" s="37"/>
    </row>
    <row r="21" spans="1:12" x14ac:dyDescent="0.2">
      <c r="A21" s="30" t="s">
        <v>24</v>
      </c>
      <c r="H21" s="31"/>
      <c r="I21" s="32"/>
      <c r="J21" s="30"/>
      <c r="K21" s="102"/>
      <c r="L21" s="100"/>
    </row>
    <row r="22" spans="1:12" x14ac:dyDescent="0.2">
      <c r="A22" s="30"/>
      <c r="H22" s="31"/>
      <c r="I22" s="32"/>
      <c r="J22" s="30"/>
      <c r="K22" s="102"/>
      <c r="L22" s="100"/>
    </row>
    <row r="23" spans="1:12" ht="8" customHeight="1" x14ac:dyDescent="0.2">
      <c r="A23" s="38"/>
      <c r="B23" s="39"/>
      <c r="C23" s="34"/>
      <c r="D23" s="34"/>
      <c r="E23" s="34"/>
      <c r="F23" s="34"/>
      <c r="G23" s="35"/>
      <c r="H23" s="38"/>
      <c r="I23" s="35"/>
      <c r="J23" s="35"/>
      <c r="K23" s="40"/>
      <c r="L23" s="41"/>
    </row>
    <row r="24" spans="1:12" ht="16" customHeight="1" thickBot="1" x14ac:dyDescent="0.25">
      <c r="A24" s="32" t="s">
        <v>25</v>
      </c>
      <c r="B24" s="6" t="s">
        <v>22</v>
      </c>
      <c r="C24" s="97" t="s">
        <v>23</v>
      </c>
      <c r="D24" s="112"/>
      <c r="E24" s="112"/>
      <c r="F24" s="98"/>
      <c r="H24" s="31"/>
      <c r="I24" s="32"/>
      <c r="J24" s="30"/>
      <c r="K24" s="115"/>
      <c r="L24" s="100"/>
    </row>
    <row r="25" spans="1:12" ht="17" thickBot="1" x14ac:dyDescent="0.25">
      <c r="A25" s="42" t="s">
        <v>26</v>
      </c>
      <c r="B25" s="6" t="s">
        <v>27</v>
      </c>
      <c r="C25" s="97" t="s">
        <v>119</v>
      </c>
      <c r="D25" s="112"/>
      <c r="E25" s="98"/>
      <c r="F25" s="43" t="s">
        <v>120</v>
      </c>
      <c r="H25" s="31" t="s">
        <v>122</v>
      </c>
      <c r="I25" s="32"/>
      <c r="J25" s="30"/>
      <c r="K25" s="116"/>
      <c r="L25" s="100"/>
    </row>
    <row r="26" spans="1:12" x14ac:dyDescent="0.2">
      <c r="A26" s="30"/>
      <c r="B26" s="6" t="s">
        <v>28</v>
      </c>
      <c r="C26" s="97" t="s">
        <v>121</v>
      </c>
      <c r="D26" s="112"/>
      <c r="E26" s="98"/>
      <c r="F26" s="43" t="s">
        <v>120</v>
      </c>
      <c r="H26" s="31"/>
      <c r="I26" s="32"/>
      <c r="J26" s="30"/>
      <c r="K26" s="116"/>
      <c r="L26" s="100"/>
    </row>
    <row r="27" spans="1:12" x14ac:dyDescent="0.2">
      <c r="A27" s="32"/>
      <c r="H27" s="31"/>
      <c r="I27" s="32"/>
      <c r="J27" s="30"/>
      <c r="K27" s="116"/>
      <c r="L27" s="100"/>
    </row>
    <row r="28" spans="1:12" ht="8" customHeight="1" x14ac:dyDescent="0.2">
      <c r="A28" s="33"/>
      <c r="B28" s="39"/>
      <c r="C28" s="34"/>
      <c r="D28" s="34"/>
      <c r="E28" s="34"/>
      <c r="F28" s="34"/>
      <c r="G28" s="35"/>
      <c r="H28" s="38"/>
      <c r="I28" s="35"/>
      <c r="J28" s="33"/>
      <c r="K28" s="40"/>
      <c r="L28" s="44"/>
    </row>
    <row r="29" spans="1:12" ht="16" customHeight="1" x14ac:dyDescent="0.2">
      <c r="A29" s="30" t="s">
        <v>29</v>
      </c>
      <c r="B29" s="6" t="s">
        <v>22</v>
      </c>
      <c r="C29" s="97"/>
      <c r="D29" s="112"/>
      <c r="E29" s="112"/>
      <c r="F29" s="98"/>
      <c r="H29" s="31"/>
      <c r="I29" s="32"/>
      <c r="J29" s="30"/>
      <c r="K29" s="99"/>
      <c r="L29" s="100"/>
    </row>
    <row r="30" spans="1:12" x14ac:dyDescent="0.2">
      <c r="A30" s="30"/>
      <c r="B30" s="45" t="s">
        <v>30</v>
      </c>
      <c r="C30" s="46">
        <v>90</v>
      </c>
      <c r="D30" t="str">
        <f>IF(B30="Oral NOAEL =","mg/kg bw/day",IF(B30="Inhalation NOAEL =","mg/l 6-8 h/day"," "))</f>
        <v>mg/kg bw/day</v>
      </c>
      <c r="H30" s="31" t="s">
        <v>122</v>
      </c>
      <c r="I30" s="32"/>
      <c r="J30" s="30"/>
      <c r="K30" s="99"/>
      <c r="L30" s="100"/>
    </row>
    <row r="31" spans="1:12" x14ac:dyDescent="0.2">
      <c r="A31" s="30"/>
      <c r="H31" s="31"/>
      <c r="I31" s="32"/>
      <c r="J31" s="30"/>
      <c r="K31" s="99"/>
      <c r="L31" s="100"/>
    </row>
    <row r="32" spans="1:12" ht="8" customHeight="1" x14ac:dyDescent="0.2">
      <c r="A32" s="38"/>
      <c r="B32" s="39"/>
      <c r="C32" s="34"/>
      <c r="D32" s="34"/>
      <c r="E32" s="34"/>
      <c r="F32" s="34"/>
      <c r="G32" s="35"/>
      <c r="H32" s="38"/>
      <c r="I32" s="35"/>
      <c r="J32" s="33"/>
      <c r="K32" s="47"/>
      <c r="L32" s="48"/>
    </row>
    <row r="33" spans="1:12" x14ac:dyDescent="0.2">
      <c r="A33" s="32" t="s">
        <v>31</v>
      </c>
      <c r="B33" s="6" t="s">
        <v>22</v>
      </c>
      <c r="C33" s="97"/>
      <c r="D33" s="112"/>
      <c r="E33" s="112"/>
      <c r="F33" s="98"/>
      <c r="H33" s="31"/>
      <c r="I33" s="32"/>
      <c r="J33" s="30"/>
      <c r="K33" s="99"/>
      <c r="L33" s="100"/>
    </row>
    <row r="34" spans="1:12" x14ac:dyDescent="0.2">
      <c r="A34" s="32"/>
      <c r="B34" s="45" t="s">
        <v>30</v>
      </c>
      <c r="C34" s="46">
        <v>90</v>
      </c>
      <c r="D34" t="str">
        <f>IF(B34="Oral NOAEL =","mg/kg bw/day",IF(B34="Inhalation NOAEL =","mg/l 6-8 h/day"," "))</f>
        <v>mg/kg bw/day</v>
      </c>
      <c r="H34" s="31" t="s">
        <v>122</v>
      </c>
      <c r="I34" s="32"/>
      <c r="J34" s="30"/>
      <c r="K34" s="99"/>
      <c r="L34" s="100"/>
    </row>
    <row r="35" spans="1:12" x14ac:dyDescent="0.2">
      <c r="A35" s="32"/>
      <c r="H35" s="31"/>
      <c r="I35" s="32"/>
      <c r="J35" s="30"/>
      <c r="K35" s="99"/>
      <c r="L35" s="100"/>
    </row>
    <row r="36" spans="1:12" ht="8" customHeight="1" x14ac:dyDescent="0.2">
      <c r="A36" s="38"/>
      <c r="B36" s="39"/>
      <c r="C36" s="34"/>
      <c r="D36" s="34"/>
      <c r="E36" s="34"/>
      <c r="F36" s="34"/>
      <c r="G36" s="35"/>
      <c r="H36" s="38"/>
      <c r="I36" s="35"/>
      <c r="J36" s="33"/>
      <c r="K36" s="47"/>
      <c r="L36" s="44"/>
    </row>
    <row r="37" spans="1:12" x14ac:dyDescent="0.2">
      <c r="A37" s="32" t="s">
        <v>32</v>
      </c>
      <c r="G37" s="32"/>
      <c r="I37" s="32"/>
      <c r="J37" s="30"/>
      <c r="K37" s="114"/>
      <c r="L37" s="100"/>
    </row>
    <row r="38" spans="1:12" x14ac:dyDescent="0.2">
      <c r="A38" s="32"/>
      <c r="B38"/>
      <c r="G38" s="32"/>
      <c r="I38" s="32"/>
      <c r="J38" s="30"/>
      <c r="K38" s="114"/>
      <c r="L38" s="100"/>
    </row>
    <row r="39" spans="1:12" ht="8" customHeight="1" x14ac:dyDescent="0.2">
      <c r="A39" s="33"/>
      <c r="B39" s="39"/>
      <c r="C39" s="34"/>
      <c r="D39" s="34"/>
      <c r="E39" s="34"/>
      <c r="F39" s="34"/>
      <c r="G39" s="35"/>
      <c r="H39" s="38"/>
      <c r="I39" s="35"/>
      <c r="J39" s="33"/>
      <c r="K39" s="47"/>
      <c r="L39" s="44"/>
    </row>
    <row r="40" spans="1:12" x14ac:dyDescent="0.2">
      <c r="A40" s="32" t="s">
        <v>33</v>
      </c>
      <c r="B40" s="6" t="s">
        <v>34</v>
      </c>
      <c r="C40" s="97"/>
      <c r="D40" s="112"/>
      <c r="E40" s="112"/>
      <c r="F40" s="98"/>
      <c r="G40" s="32"/>
      <c r="I40" s="32"/>
      <c r="J40" s="30"/>
      <c r="K40" s="99"/>
      <c r="L40" s="100"/>
    </row>
    <row r="41" spans="1:12" x14ac:dyDescent="0.2">
      <c r="A41" s="32"/>
      <c r="B41" s="6" t="s">
        <v>35</v>
      </c>
      <c r="C41" s="97"/>
      <c r="D41" s="112"/>
      <c r="E41" s="112"/>
      <c r="F41" s="98"/>
      <c r="G41" s="32"/>
      <c r="I41" s="32"/>
      <c r="J41" s="30"/>
      <c r="K41" s="99"/>
      <c r="L41" s="100"/>
    </row>
    <row r="42" spans="1:12" x14ac:dyDescent="0.2">
      <c r="B42" s="49" t="s">
        <v>36</v>
      </c>
      <c r="C42" s="50">
        <v>1144</v>
      </c>
      <c r="D42" t="s">
        <v>37</v>
      </c>
      <c r="E42" s="7"/>
      <c r="G42" s="32"/>
      <c r="H42" s="31" t="s">
        <v>122</v>
      </c>
      <c r="I42" s="32"/>
      <c r="J42" s="30"/>
      <c r="K42" s="99"/>
      <c r="L42" s="100"/>
    </row>
    <row r="43" spans="1:12" x14ac:dyDescent="0.2">
      <c r="B43" s="49" t="s">
        <v>38</v>
      </c>
      <c r="C43" s="50">
        <v>90</v>
      </c>
      <c r="D43" t="s">
        <v>39</v>
      </c>
      <c r="G43" s="32"/>
      <c r="H43" s="31"/>
      <c r="I43" s="32"/>
      <c r="J43" s="30"/>
      <c r="K43" s="99"/>
      <c r="L43" s="100"/>
    </row>
    <row r="44" spans="1:12" x14ac:dyDescent="0.2">
      <c r="A44" s="32"/>
      <c r="G44" s="32"/>
      <c r="I44" s="32"/>
      <c r="J44" s="30"/>
      <c r="K44" s="99"/>
      <c r="L44" s="100"/>
    </row>
    <row r="45" spans="1:12" ht="8" customHeight="1" x14ac:dyDescent="0.2">
      <c r="A45" s="33"/>
      <c r="B45" s="39"/>
      <c r="C45" s="34"/>
      <c r="D45" s="34"/>
      <c r="E45" s="34"/>
      <c r="F45" s="34"/>
      <c r="G45" s="35"/>
      <c r="H45" s="38"/>
      <c r="I45" s="35"/>
      <c r="J45" s="33"/>
      <c r="K45" s="47"/>
      <c r="L45" s="44"/>
    </row>
    <row r="46" spans="1:12" x14ac:dyDescent="0.2">
      <c r="A46" s="32" t="s">
        <v>40</v>
      </c>
      <c r="B46" s="6" t="s">
        <v>41</v>
      </c>
      <c r="C46" s="97"/>
      <c r="D46" s="112"/>
      <c r="E46" s="112"/>
      <c r="F46" s="98"/>
      <c r="G46" s="32"/>
      <c r="I46" s="32"/>
      <c r="J46" s="30"/>
      <c r="K46" s="100" t="s">
        <v>124</v>
      </c>
      <c r="L46" s="100"/>
    </row>
    <row r="47" spans="1:12" x14ac:dyDescent="0.2">
      <c r="A47" s="32"/>
      <c r="B47" s="6" t="s">
        <v>35</v>
      </c>
      <c r="C47" s="97"/>
      <c r="D47" s="112"/>
      <c r="E47" s="112"/>
      <c r="F47" s="98"/>
      <c r="G47" s="32"/>
      <c r="H47" s="31"/>
      <c r="I47" s="32"/>
      <c r="J47" s="30"/>
      <c r="K47" s="100"/>
      <c r="L47" s="100"/>
    </row>
    <row r="48" spans="1:12" x14ac:dyDescent="0.2">
      <c r="A48" s="32"/>
      <c r="B48" s="45" t="s">
        <v>42</v>
      </c>
      <c r="C48" s="50"/>
      <c r="D48" t="str">
        <f>IF(B48="Acute: LC50 (dust/mist/aerosol) =","mg/l/4h",IF(B48="Acute: LC50 (vapor) =","mg/l/4h",IF(B48="Acute: LC50 (gas) =","ppmV")))</f>
        <v>mg/l/4h</v>
      </c>
      <c r="G48" s="32"/>
      <c r="H48" s="31"/>
      <c r="I48" s="32"/>
      <c r="J48" s="30"/>
      <c r="K48" s="100"/>
      <c r="L48" s="100"/>
    </row>
    <row r="49" spans="1:12" x14ac:dyDescent="0.2">
      <c r="A49" s="32"/>
      <c r="B49" s="45" t="s">
        <v>43</v>
      </c>
      <c r="C49" s="50"/>
      <c r="D49" t="str">
        <f>IF(B49="Chronic: LOAEL (dust/mist/aerosol) =","mg/l/6h/d",IF(B49="Chronic: LOAEL (vapor) =","mg/l/6h/d",IF(B49="Chronic: LOAEL (gas) =","ppmV/6h/d")))</f>
        <v>mg/l/6h/d</v>
      </c>
      <c r="G49" s="32"/>
      <c r="I49" s="32"/>
      <c r="J49" s="30"/>
      <c r="K49" s="100"/>
      <c r="L49" s="100"/>
    </row>
    <row r="50" spans="1:12" ht="55" customHeight="1" x14ac:dyDescent="0.2">
      <c r="A50" s="32"/>
      <c r="B50" s="124" t="s">
        <v>123</v>
      </c>
      <c r="C50" s="122"/>
      <c r="D50" s="122"/>
      <c r="E50" s="122"/>
      <c r="F50" s="122"/>
      <c r="G50" s="123"/>
      <c r="I50" s="32"/>
      <c r="J50" s="30"/>
      <c r="K50" s="100"/>
      <c r="L50" s="100"/>
    </row>
    <row r="51" spans="1:12" ht="8" customHeight="1" x14ac:dyDescent="0.2">
      <c r="A51" s="33"/>
      <c r="B51" s="39"/>
      <c r="C51" s="34"/>
      <c r="D51" s="34"/>
      <c r="E51" s="34"/>
      <c r="F51" s="34"/>
      <c r="G51" s="35"/>
      <c r="H51" s="38"/>
      <c r="I51" s="35"/>
      <c r="J51" s="33"/>
      <c r="K51" s="47"/>
      <c r="L51" s="44"/>
    </row>
    <row r="52" spans="1:12" x14ac:dyDescent="0.2">
      <c r="A52" s="32" t="s">
        <v>44</v>
      </c>
      <c r="B52" s="6" t="s">
        <v>45</v>
      </c>
      <c r="C52" s="97"/>
      <c r="D52" s="112"/>
      <c r="E52" s="112"/>
      <c r="F52" s="98"/>
      <c r="G52" s="32"/>
      <c r="I52" s="32"/>
      <c r="J52" s="30"/>
      <c r="K52" s="99"/>
      <c r="L52" s="100"/>
    </row>
    <row r="53" spans="1:12" x14ac:dyDescent="0.2">
      <c r="A53" s="32"/>
      <c r="B53" s="6" t="s">
        <v>35</v>
      </c>
      <c r="C53" s="97"/>
      <c r="D53" s="112"/>
      <c r="E53" s="112"/>
      <c r="F53" s="98"/>
      <c r="G53" s="32"/>
      <c r="I53" s="32"/>
      <c r="J53" s="30"/>
      <c r="K53" s="99"/>
      <c r="L53" s="100"/>
    </row>
    <row r="54" spans="1:12" x14ac:dyDescent="0.2">
      <c r="A54" s="32"/>
      <c r="B54" s="6" t="s">
        <v>36</v>
      </c>
      <c r="C54" s="50">
        <v>400640</v>
      </c>
      <c r="D54" t="s">
        <v>46</v>
      </c>
      <c r="G54" s="32"/>
      <c r="H54" s="31" t="s">
        <v>122</v>
      </c>
      <c r="I54" s="32"/>
      <c r="J54" s="30"/>
      <c r="K54" s="99"/>
      <c r="L54" s="100"/>
    </row>
    <row r="55" spans="1:12" x14ac:dyDescent="0.2">
      <c r="B55" s="49" t="s">
        <v>38</v>
      </c>
      <c r="C55" s="50"/>
      <c r="D55" t="s">
        <v>39</v>
      </c>
      <c r="G55" s="32"/>
      <c r="I55" s="32"/>
      <c r="J55" s="30"/>
      <c r="K55" s="99"/>
      <c r="L55" s="100"/>
    </row>
    <row r="56" spans="1:12" x14ac:dyDescent="0.2">
      <c r="A56" s="32"/>
      <c r="B56" s="49"/>
      <c r="G56" s="32"/>
      <c r="I56" s="32"/>
      <c r="J56" s="30"/>
      <c r="K56" s="99"/>
      <c r="L56" s="100"/>
    </row>
    <row r="57" spans="1:12" ht="8" customHeight="1" x14ac:dyDescent="0.2">
      <c r="A57" s="33"/>
      <c r="B57" s="39"/>
      <c r="C57" s="34"/>
      <c r="D57" s="34"/>
      <c r="E57" s="34"/>
      <c r="F57" s="34"/>
      <c r="G57" s="35"/>
      <c r="H57" s="38"/>
      <c r="I57" s="35"/>
      <c r="J57" s="33"/>
      <c r="K57" s="47"/>
      <c r="L57" s="44"/>
    </row>
    <row r="58" spans="1:12" x14ac:dyDescent="0.2">
      <c r="A58" s="32" t="s">
        <v>47</v>
      </c>
      <c r="B58" s="6" t="s">
        <v>48</v>
      </c>
      <c r="C58" s="97" t="s">
        <v>125</v>
      </c>
      <c r="D58" s="112"/>
      <c r="E58" s="112"/>
      <c r="F58" s="98"/>
      <c r="G58" s="32"/>
      <c r="H58" t="s">
        <v>126</v>
      </c>
      <c r="I58" s="32"/>
      <c r="J58" s="30"/>
      <c r="K58" s="99"/>
      <c r="L58" s="100"/>
    </row>
    <row r="59" spans="1:12" x14ac:dyDescent="0.2">
      <c r="A59" s="32"/>
      <c r="B59" s="6" t="s">
        <v>49</v>
      </c>
      <c r="C59" s="97" t="s">
        <v>127</v>
      </c>
      <c r="D59" s="112"/>
      <c r="E59" s="112"/>
      <c r="F59" s="98"/>
      <c r="G59" s="32"/>
      <c r="I59" s="32"/>
      <c r="J59" s="30"/>
      <c r="K59" s="99"/>
      <c r="L59" s="100"/>
    </row>
    <row r="60" spans="1:12" x14ac:dyDescent="0.2">
      <c r="A60" s="32"/>
      <c r="B60" s="6" t="s">
        <v>50</v>
      </c>
      <c r="C60" s="97"/>
      <c r="D60" s="112"/>
      <c r="E60" s="112"/>
      <c r="F60" s="98"/>
      <c r="G60" s="32"/>
      <c r="I60" s="32"/>
      <c r="J60" s="30"/>
      <c r="K60" s="99"/>
      <c r="L60" s="100"/>
    </row>
    <row r="61" spans="1:12" x14ac:dyDescent="0.2">
      <c r="A61" s="32"/>
      <c r="B61" s="6" t="str">
        <f>IF(AND(C58="No data",C59="No data",C60="No data"),"No studies available: pH =","")</f>
        <v/>
      </c>
      <c r="C61" s="51"/>
      <c r="G61" s="32"/>
      <c r="I61" s="32"/>
      <c r="J61" s="30"/>
      <c r="K61" s="99"/>
      <c r="L61" s="100"/>
    </row>
    <row r="62" spans="1:12" x14ac:dyDescent="0.2">
      <c r="A62" s="32"/>
      <c r="G62" s="32"/>
      <c r="I62" s="32"/>
      <c r="J62" s="30"/>
      <c r="K62" s="99"/>
      <c r="L62" s="100"/>
    </row>
    <row r="63" spans="1:12" ht="8" customHeight="1" x14ac:dyDescent="0.2">
      <c r="A63" s="33"/>
      <c r="B63" s="39"/>
      <c r="C63" s="34"/>
      <c r="D63" s="34"/>
      <c r="E63" s="34"/>
      <c r="F63" s="34"/>
      <c r="G63" s="35"/>
      <c r="H63" s="38"/>
      <c r="I63" s="35"/>
      <c r="J63" s="33"/>
      <c r="K63" s="47"/>
      <c r="L63" s="44"/>
    </row>
    <row r="64" spans="1:12" x14ac:dyDescent="0.2">
      <c r="A64" s="32" t="s">
        <v>51</v>
      </c>
      <c r="B64" s="6" t="s">
        <v>48</v>
      </c>
      <c r="C64" s="97"/>
      <c r="D64" s="112"/>
      <c r="E64" s="112"/>
      <c r="F64" s="98"/>
      <c r="G64" s="32"/>
      <c r="I64" s="32"/>
      <c r="J64" s="30"/>
      <c r="K64" s="113" t="s">
        <v>124</v>
      </c>
      <c r="L64" s="100"/>
    </row>
    <row r="65" spans="1:12" ht="16" customHeight="1" x14ac:dyDescent="0.2">
      <c r="A65" s="32"/>
      <c r="B65" s="6" t="s">
        <v>52</v>
      </c>
      <c r="C65" s="105"/>
      <c r="D65" s="106"/>
      <c r="E65" s="106"/>
      <c r="F65" s="107"/>
      <c r="G65" s="32"/>
      <c r="I65" s="32"/>
      <c r="J65" s="30"/>
      <c r="K65" s="113"/>
      <c r="L65" s="100"/>
    </row>
    <row r="66" spans="1:12" x14ac:dyDescent="0.2">
      <c r="A66" s="32"/>
      <c r="B66" s="122" t="s">
        <v>128</v>
      </c>
      <c r="C66" s="122"/>
      <c r="D66" s="122"/>
      <c r="E66" s="122"/>
      <c r="F66" s="122"/>
      <c r="G66" s="123"/>
      <c r="I66" s="32"/>
      <c r="J66" s="30"/>
      <c r="K66" s="113"/>
      <c r="L66" s="100"/>
    </row>
    <row r="67" spans="1:12" ht="8" customHeight="1" x14ac:dyDescent="0.2">
      <c r="A67" s="33"/>
      <c r="B67" s="39"/>
      <c r="C67" s="34"/>
      <c r="D67" s="34"/>
      <c r="E67" s="34"/>
      <c r="F67" s="34"/>
      <c r="G67" s="35"/>
      <c r="H67" s="38"/>
      <c r="I67" s="35"/>
      <c r="J67" s="33"/>
      <c r="K67" s="47"/>
      <c r="L67" s="44"/>
    </row>
    <row r="68" spans="1:12" x14ac:dyDescent="0.2">
      <c r="A68" s="32" t="s">
        <v>53</v>
      </c>
      <c r="G68" s="32"/>
      <c r="I68" s="32"/>
      <c r="J68" s="30"/>
      <c r="K68" s="102"/>
      <c r="L68" s="100"/>
    </row>
    <row r="69" spans="1:12" x14ac:dyDescent="0.2">
      <c r="A69" s="52"/>
      <c r="B69" s="53"/>
      <c r="C69" s="54"/>
      <c r="D69" s="54"/>
      <c r="E69" s="54"/>
      <c r="F69" s="54"/>
      <c r="G69" s="52"/>
      <c r="H69" s="54"/>
      <c r="I69" s="52"/>
      <c r="J69" s="55"/>
      <c r="K69" s="103"/>
      <c r="L69" s="104"/>
    </row>
    <row r="70" spans="1:12" x14ac:dyDescent="0.2">
      <c r="A70" s="56"/>
      <c r="H70" s="56"/>
      <c r="J70" s="56"/>
      <c r="K70" s="56"/>
      <c r="L70" s="57"/>
    </row>
    <row r="71" spans="1:12" x14ac:dyDescent="0.2">
      <c r="A71" s="16" t="s">
        <v>14</v>
      </c>
      <c r="B71" s="17" t="s">
        <v>15</v>
      </c>
      <c r="C71" s="18"/>
      <c r="D71" s="18"/>
      <c r="E71" s="18"/>
      <c r="F71" s="18"/>
      <c r="G71" s="19"/>
      <c r="H71" s="109" t="s">
        <v>16</v>
      </c>
      <c r="I71" s="110"/>
      <c r="J71" s="16"/>
      <c r="K71" s="20"/>
      <c r="L71" s="16" t="s">
        <v>54</v>
      </c>
    </row>
    <row r="72" spans="1:12" x14ac:dyDescent="0.2">
      <c r="A72" s="58" t="s">
        <v>55</v>
      </c>
      <c r="B72" s="59"/>
      <c r="C72" s="60"/>
      <c r="D72" s="60"/>
      <c r="E72" s="60"/>
      <c r="F72" s="60"/>
      <c r="G72" s="61"/>
      <c r="H72" s="62"/>
      <c r="I72" s="61"/>
      <c r="J72" s="58"/>
      <c r="K72" s="61"/>
      <c r="L72" s="61"/>
    </row>
    <row r="73" spans="1:12" ht="16" customHeight="1" x14ac:dyDescent="0.2">
      <c r="A73" s="32" t="s">
        <v>56</v>
      </c>
      <c r="B73" s="6" t="s">
        <v>41</v>
      </c>
      <c r="C73" s="105"/>
      <c r="D73" s="106"/>
      <c r="E73" s="106"/>
      <c r="F73" s="107"/>
      <c r="G73" s="32"/>
      <c r="I73" s="32"/>
      <c r="J73" s="30"/>
      <c r="K73" s="108"/>
      <c r="L73" s="111"/>
    </row>
    <row r="74" spans="1:12" x14ac:dyDescent="0.2">
      <c r="A74" s="32"/>
      <c r="B74" s="6" t="s">
        <v>57</v>
      </c>
      <c r="C74" s="50">
        <v>100</v>
      </c>
      <c r="D74" t="s">
        <v>58</v>
      </c>
      <c r="G74" s="32"/>
      <c r="H74" s="63" t="s">
        <v>122</v>
      </c>
      <c r="I74" s="32"/>
      <c r="J74" s="30"/>
      <c r="K74" s="99"/>
      <c r="L74" s="100"/>
    </row>
    <row r="75" spans="1:12" x14ac:dyDescent="0.2">
      <c r="A75" s="32"/>
      <c r="B75" s="6" t="s">
        <v>59</v>
      </c>
      <c r="C75" s="64">
        <v>1</v>
      </c>
      <c r="D75" t="s">
        <v>58</v>
      </c>
      <c r="G75" s="32"/>
      <c r="I75" s="32"/>
      <c r="J75" s="30"/>
      <c r="K75" s="99"/>
      <c r="L75" s="100"/>
    </row>
    <row r="76" spans="1:12" x14ac:dyDescent="0.2">
      <c r="A76" s="32"/>
      <c r="B76" s="6" t="s">
        <v>60</v>
      </c>
      <c r="C76" s="50"/>
      <c r="D76" t="s">
        <v>58</v>
      </c>
      <c r="G76" s="32"/>
      <c r="I76" s="32"/>
      <c r="J76" s="30"/>
      <c r="K76" s="99"/>
      <c r="L76" s="100"/>
    </row>
    <row r="77" spans="1:12" x14ac:dyDescent="0.2">
      <c r="A77" s="32"/>
      <c r="G77" s="32"/>
      <c r="I77" s="32"/>
      <c r="J77" s="30"/>
      <c r="K77" s="99"/>
      <c r="L77" s="100"/>
    </row>
    <row r="78" spans="1:12" ht="8" customHeight="1" x14ac:dyDescent="0.2">
      <c r="A78" s="33"/>
      <c r="B78" s="39"/>
      <c r="C78" s="34"/>
      <c r="D78" s="34"/>
      <c r="E78" s="34"/>
      <c r="F78" s="34"/>
      <c r="G78" s="35"/>
      <c r="H78" s="38"/>
      <c r="I78" s="35"/>
      <c r="J78" s="33"/>
      <c r="K78" s="47"/>
      <c r="L78" s="44"/>
    </row>
    <row r="79" spans="1:12" ht="16" customHeight="1" x14ac:dyDescent="0.2">
      <c r="A79" s="32" t="s">
        <v>61</v>
      </c>
      <c r="B79" s="6" t="s">
        <v>41</v>
      </c>
      <c r="C79" s="105"/>
      <c r="D79" s="106"/>
      <c r="E79" s="106"/>
      <c r="F79" s="107"/>
      <c r="G79" s="32"/>
      <c r="I79" s="32"/>
      <c r="J79" s="30"/>
      <c r="K79" s="108"/>
      <c r="L79" s="100"/>
    </row>
    <row r="80" spans="1:12" x14ac:dyDescent="0.2">
      <c r="A80" s="32"/>
      <c r="B80" s="6" t="s">
        <v>62</v>
      </c>
      <c r="C80" s="50">
        <v>267.94</v>
      </c>
      <c r="D80" t="s">
        <v>58</v>
      </c>
      <c r="G80" s="32"/>
      <c r="H80" t="s">
        <v>122</v>
      </c>
      <c r="I80" s="32"/>
      <c r="J80" s="30"/>
      <c r="K80" s="99"/>
      <c r="L80" s="100"/>
    </row>
    <row r="81" spans="1:12" x14ac:dyDescent="0.2">
      <c r="A81" s="32"/>
      <c r="B81" s="6" t="s">
        <v>59</v>
      </c>
      <c r="C81" s="50">
        <v>1.2</v>
      </c>
      <c r="D81" t="s">
        <v>58</v>
      </c>
      <c r="G81" s="32"/>
      <c r="H81" s="63"/>
      <c r="I81" s="32"/>
      <c r="J81" s="30"/>
      <c r="K81" s="99"/>
      <c r="L81" s="100"/>
    </row>
    <row r="82" spans="1:12" x14ac:dyDescent="0.2">
      <c r="A82" s="32"/>
      <c r="B82" s="6" t="s">
        <v>60</v>
      </c>
      <c r="C82" s="50"/>
      <c r="D82" t="s">
        <v>58</v>
      </c>
      <c r="G82" s="32"/>
      <c r="H82" s="63"/>
      <c r="I82" s="32"/>
      <c r="J82" s="30"/>
      <c r="K82" s="99"/>
      <c r="L82" s="100"/>
    </row>
    <row r="83" spans="1:12" x14ac:dyDescent="0.2">
      <c r="A83" s="32"/>
      <c r="G83" s="32"/>
      <c r="H83" s="63"/>
      <c r="I83" s="32"/>
      <c r="J83" s="30"/>
      <c r="K83" s="99"/>
      <c r="L83" s="100"/>
    </row>
    <row r="84" spans="1:12" ht="8" customHeight="1" x14ac:dyDescent="0.2">
      <c r="A84" s="33"/>
      <c r="B84" s="39"/>
      <c r="C84" s="34"/>
      <c r="D84" s="34"/>
      <c r="E84" s="34"/>
      <c r="F84" s="34"/>
      <c r="G84" s="35"/>
      <c r="H84" s="38"/>
      <c r="I84" s="35"/>
      <c r="J84" s="33"/>
      <c r="K84" s="47"/>
      <c r="L84" s="44"/>
    </row>
    <row r="85" spans="1:12" ht="16" customHeight="1" x14ac:dyDescent="0.2">
      <c r="A85" s="32" t="s">
        <v>63</v>
      </c>
      <c r="B85" s="6" t="s">
        <v>41</v>
      </c>
      <c r="C85" s="105"/>
      <c r="D85" s="106"/>
      <c r="E85" s="106"/>
      <c r="F85" s="107"/>
      <c r="G85" s="32"/>
      <c r="I85" s="32"/>
      <c r="J85" s="30"/>
      <c r="K85" s="108"/>
      <c r="L85" s="100"/>
    </row>
    <row r="86" spans="1:12" x14ac:dyDescent="0.2">
      <c r="A86" s="32"/>
      <c r="B86" s="6" t="s">
        <v>64</v>
      </c>
      <c r="C86" s="65">
        <v>202.5</v>
      </c>
      <c r="D86" t="s">
        <v>58</v>
      </c>
      <c r="G86" s="32"/>
      <c r="H86" t="s">
        <v>122</v>
      </c>
      <c r="I86" s="32"/>
      <c r="J86" s="32"/>
      <c r="K86" s="99"/>
      <c r="L86" s="100"/>
    </row>
    <row r="87" spans="1:12" x14ac:dyDescent="0.2">
      <c r="A87" s="32"/>
      <c r="B87" s="6" t="s">
        <v>59</v>
      </c>
      <c r="C87" s="50">
        <v>119.4</v>
      </c>
      <c r="D87" t="s">
        <v>58</v>
      </c>
      <c r="G87" s="32"/>
      <c r="H87" s="63"/>
      <c r="I87" s="32"/>
      <c r="J87" s="32"/>
      <c r="K87" s="99"/>
      <c r="L87" s="100"/>
    </row>
    <row r="88" spans="1:12" x14ac:dyDescent="0.2">
      <c r="A88" s="32"/>
      <c r="B88" s="6" t="s">
        <v>60</v>
      </c>
      <c r="C88" s="50"/>
      <c r="D88" t="s">
        <v>58</v>
      </c>
      <c r="G88" s="32"/>
      <c r="H88" s="63"/>
      <c r="I88" s="32"/>
      <c r="J88" s="32"/>
      <c r="K88" s="99"/>
      <c r="L88" s="100"/>
    </row>
    <row r="89" spans="1:12" x14ac:dyDescent="0.2">
      <c r="A89" s="32"/>
      <c r="G89" s="32"/>
      <c r="H89" s="63"/>
      <c r="I89" s="32"/>
      <c r="J89" s="32"/>
      <c r="K89" s="99"/>
      <c r="L89" s="100"/>
    </row>
    <row r="90" spans="1:12" ht="8" customHeight="1" x14ac:dyDescent="0.2">
      <c r="A90" s="33"/>
      <c r="B90" s="39"/>
      <c r="C90" s="34"/>
      <c r="D90" s="34"/>
      <c r="E90" s="34"/>
      <c r="F90" s="34"/>
      <c r="G90" s="35"/>
      <c r="H90" s="38"/>
      <c r="I90" s="35"/>
      <c r="J90" s="33"/>
      <c r="K90" s="47"/>
      <c r="L90" s="44"/>
    </row>
    <row r="91" spans="1:12" x14ac:dyDescent="0.2">
      <c r="A91" s="32" t="s">
        <v>65</v>
      </c>
      <c r="G91" s="32"/>
      <c r="I91" s="32"/>
      <c r="J91" s="32"/>
      <c r="K91" s="102"/>
      <c r="L91" s="100"/>
    </row>
    <row r="92" spans="1:12" x14ac:dyDescent="0.2">
      <c r="A92" s="32"/>
      <c r="G92" s="32"/>
      <c r="I92" s="32"/>
      <c r="J92" s="32"/>
      <c r="K92" s="102"/>
      <c r="L92" s="100"/>
    </row>
    <row r="93" spans="1:12" ht="6" customHeight="1" x14ac:dyDescent="0.2">
      <c r="A93" s="33"/>
      <c r="B93" s="39"/>
      <c r="C93" s="34"/>
      <c r="D93" s="34"/>
      <c r="E93" s="34"/>
      <c r="F93" s="34"/>
      <c r="G93" s="35"/>
      <c r="H93" s="38"/>
      <c r="I93" s="35"/>
      <c r="J93" s="33"/>
      <c r="K93" s="47"/>
      <c r="L93" s="44"/>
    </row>
    <row r="94" spans="1:12" x14ac:dyDescent="0.2">
      <c r="A94" s="32" t="s">
        <v>66</v>
      </c>
      <c r="G94" s="32"/>
      <c r="I94" s="32"/>
      <c r="J94" s="32"/>
      <c r="K94" s="102"/>
      <c r="L94" s="100"/>
    </row>
    <row r="95" spans="1:12" x14ac:dyDescent="0.2">
      <c r="A95" s="32"/>
      <c r="G95" s="32"/>
      <c r="I95" s="32"/>
      <c r="J95" s="32"/>
      <c r="K95" s="102"/>
      <c r="L95" s="100"/>
    </row>
    <row r="96" spans="1:12" ht="8" customHeight="1" x14ac:dyDescent="0.2">
      <c r="A96" s="33"/>
      <c r="B96" s="39"/>
      <c r="C96" s="34"/>
      <c r="D96" s="34"/>
      <c r="E96" s="34"/>
      <c r="F96" s="34"/>
      <c r="G96" s="35"/>
      <c r="H96" s="38"/>
      <c r="I96" s="35"/>
      <c r="J96" s="33"/>
      <c r="K96" s="47"/>
      <c r="L96" s="44"/>
    </row>
    <row r="97" spans="1:12" x14ac:dyDescent="0.2">
      <c r="A97" s="32" t="s">
        <v>67</v>
      </c>
      <c r="B97" s="66" t="s">
        <v>68</v>
      </c>
      <c r="C97" s="50"/>
      <c r="G97" s="32"/>
      <c r="I97" s="32"/>
      <c r="J97" s="32"/>
      <c r="K97" s="99"/>
      <c r="L97" s="100"/>
    </row>
    <row r="98" spans="1:12" x14ac:dyDescent="0.2">
      <c r="A98" s="32"/>
      <c r="B98" s="6" t="s">
        <v>69</v>
      </c>
      <c r="C98" s="50">
        <v>-0.19</v>
      </c>
      <c r="G98" s="32"/>
      <c r="H98" t="s">
        <v>122</v>
      </c>
      <c r="I98" s="32"/>
      <c r="J98" s="32"/>
      <c r="K98" s="99"/>
      <c r="L98" s="100"/>
    </row>
    <row r="99" spans="1:12" x14ac:dyDescent="0.2">
      <c r="A99" s="32"/>
      <c r="B99" s="6" t="s">
        <v>70</v>
      </c>
      <c r="C99" s="50"/>
      <c r="D99" t="s">
        <v>71</v>
      </c>
      <c r="G99" s="32"/>
      <c r="I99" s="32"/>
      <c r="J99" s="32"/>
      <c r="K99" s="99"/>
      <c r="L99" s="100"/>
    </row>
    <row r="100" spans="1:12" x14ac:dyDescent="0.2">
      <c r="A100" s="32"/>
      <c r="G100" s="32"/>
      <c r="I100" s="32"/>
      <c r="J100" s="32"/>
      <c r="K100" s="99"/>
      <c r="L100" s="100"/>
    </row>
    <row r="101" spans="1:12" ht="8" customHeight="1" x14ac:dyDescent="0.2">
      <c r="A101" s="33"/>
      <c r="B101" s="39"/>
      <c r="C101" s="34"/>
      <c r="D101" s="34"/>
      <c r="E101" s="34"/>
      <c r="F101" s="34"/>
      <c r="G101" s="35"/>
      <c r="H101" s="38"/>
      <c r="I101" s="35"/>
      <c r="J101" s="33"/>
      <c r="K101" s="47"/>
      <c r="L101" s="44"/>
    </row>
    <row r="102" spans="1:12" x14ac:dyDescent="0.2">
      <c r="A102" s="32" t="s">
        <v>72</v>
      </c>
      <c r="B102" s="97" t="s">
        <v>73</v>
      </c>
      <c r="C102" s="98"/>
      <c r="D102" s="50"/>
      <c r="E102" t="str">
        <f>IF(B102="% ThOD biodegradation after 28 days:","% degradation (ThOD)",IF(B102="% DOC biodegradation after 28 days:","% degradation (DOC)",IF(B102="Substance is inherently biodegradable","","Assess manually")))</f>
        <v>% degradation (DOC)</v>
      </c>
      <c r="G102" s="32"/>
      <c r="I102" s="32"/>
      <c r="J102" s="32"/>
      <c r="K102" s="99" t="s">
        <v>130</v>
      </c>
      <c r="L102" s="100"/>
    </row>
    <row r="103" spans="1:12" x14ac:dyDescent="0.2">
      <c r="A103" s="32"/>
      <c r="B103" s="122" t="s">
        <v>129</v>
      </c>
      <c r="C103" s="122"/>
      <c r="D103" s="122"/>
      <c r="E103" s="122"/>
      <c r="F103" s="122"/>
      <c r="G103" s="123"/>
      <c r="H103" t="s">
        <v>122</v>
      </c>
      <c r="I103" s="32"/>
      <c r="J103" s="32"/>
      <c r="K103" s="99"/>
      <c r="L103" s="100"/>
    </row>
    <row r="104" spans="1:12" ht="8" customHeight="1" x14ac:dyDescent="0.2">
      <c r="A104" s="33"/>
      <c r="B104" s="39"/>
      <c r="C104" s="34"/>
      <c r="D104" s="34"/>
      <c r="E104" s="34"/>
      <c r="F104" s="34"/>
      <c r="G104" s="35"/>
      <c r="H104" s="38"/>
      <c r="I104" s="35"/>
      <c r="J104" s="33"/>
      <c r="K104" s="47"/>
      <c r="L104" s="44"/>
    </row>
    <row r="105" spans="1:12" ht="15" customHeight="1" x14ac:dyDescent="0.2">
      <c r="A105" s="32" t="s">
        <v>74</v>
      </c>
      <c r="G105" s="32"/>
      <c r="I105" s="32"/>
      <c r="J105" s="32"/>
      <c r="K105" s="101"/>
      <c r="L105" s="100"/>
    </row>
    <row r="106" spans="1:12" x14ac:dyDescent="0.2">
      <c r="A106" s="32"/>
      <c r="G106" s="32"/>
      <c r="I106" s="32"/>
      <c r="J106" s="32"/>
      <c r="K106" s="101"/>
      <c r="L106" s="100"/>
    </row>
    <row r="107" spans="1:12" ht="8" customHeight="1" x14ac:dyDescent="0.2">
      <c r="A107" s="33"/>
      <c r="B107" s="39"/>
      <c r="C107" s="34"/>
      <c r="D107" s="34"/>
      <c r="E107" s="34"/>
      <c r="F107" s="34"/>
      <c r="G107" s="35"/>
      <c r="H107" s="38"/>
      <c r="I107" s="35"/>
      <c r="J107" s="33"/>
      <c r="K107" s="47"/>
      <c r="L107" s="44"/>
    </row>
    <row r="108" spans="1:12" x14ac:dyDescent="0.2">
      <c r="A108" s="32" t="s">
        <v>53</v>
      </c>
      <c r="G108" s="32"/>
      <c r="I108" s="32"/>
      <c r="J108" s="32"/>
      <c r="K108" s="102"/>
      <c r="L108" s="100"/>
    </row>
    <row r="109" spans="1:12" x14ac:dyDescent="0.2">
      <c r="A109" s="32"/>
      <c r="G109" s="32"/>
      <c r="I109" s="32"/>
      <c r="J109" s="32"/>
      <c r="K109" s="103"/>
      <c r="L109" s="104"/>
    </row>
    <row r="110" spans="1:12" x14ac:dyDescent="0.2">
      <c r="A110" s="58" t="s">
        <v>75</v>
      </c>
      <c r="B110" s="67"/>
      <c r="C110" s="60"/>
      <c r="D110" s="60"/>
      <c r="E110" s="60"/>
      <c r="F110" s="60"/>
      <c r="G110" s="61"/>
      <c r="H110" s="62"/>
      <c r="I110" s="61"/>
      <c r="J110" s="61"/>
      <c r="K110" s="68"/>
      <c r="L110" s="61"/>
    </row>
    <row r="111" spans="1:12" x14ac:dyDescent="0.2">
      <c r="A111" s="32" t="s">
        <v>76</v>
      </c>
      <c r="B111" t="s">
        <v>132</v>
      </c>
      <c r="G111" s="32"/>
      <c r="I111" s="32"/>
      <c r="J111" s="32"/>
      <c r="K111" s="87" t="s">
        <v>131</v>
      </c>
      <c r="L111" s="88"/>
    </row>
    <row r="112" spans="1:12" x14ac:dyDescent="0.2">
      <c r="A112" s="32"/>
      <c r="B112"/>
      <c r="G112" s="32"/>
      <c r="I112" s="32"/>
      <c r="J112" s="32"/>
      <c r="K112" s="89"/>
      <c r="L112" s="90"/>
    </row>
    <row r="113" spans="1:12" ht="4" customHeight="1" x14ac:dyDescent="0.2">
      <c r="A113" s="33"/>
      <c r="B113" s="39"/>
      <c r="C113" s="34"/>
      <c r="D113" s="34"/>
      <c r="E113" s="34"/>
      <c r="F113" s="34"/>
      <c r="G113" s="35"/>
      <c r="H113" s="38"/>
      <c r="I113" s="35"/>
      <c r="J113" s="33"/>
      <c r="K113" s="69"/>
      <c r="L113" s="70"/>
    </row>
    <row r="114" spans="1:12" x14ac:dyDescent="0.2">
      <c r="A114" s="30" t="s">
        <v>77</v>
      </c>
      <c r="B114" s="6" t="s">
        <v>132</v>
      </c>
      <c r="G114" s="32"/>
      <c r="I114" s="32"/>
      <c r="J114" s="32"/>
      <c r="K114" s="87" t="s">
        <v>131</v>
      </c>
      <c r="L114" s="88"/>
    </row>
    <row r="115" spans="1:12" ht="17" thickBot="1" x14ac:dyDescent="0.25">
      <c r="A115" s="55"/>
      <c r="B115" s="53"/>
      <c r="C115" s="54"/>
      <c r="D115" s="54"/>
      <c r="E115" s="54"/>
      <c r="F115" s="54"/>
      <c r="G115" s="52"/>
      <c r="H115" s="54"/>
      <c r="I115" s="52"/>
      <c r="J115" s="32"/>
      <c r="K115" s="91"/>
      <c r="L115" s="92"/>
    </row>
    <row r="116" spans="1:12" x14ac:dyDescent="0.2">
      <c r="J116" s="71" t="s">
        <v>78</v>
      </c>
      <c r="K116" s="72"/>
      <c r="L116" s="93" t="s">
        <v>131</v>
      </c>
    </row>
    <row r="117" spans="1:12" x14ac:dyDescent="0.2">
      <c r="J117" s="73"/>
      <c r="K117" s="52"/>
      <c r="L117" s="94"/>
    </row>
    <row r="118" spans="1:12" x14ac:dyDescent="0.2">
      <c r="J118" s="74" t="s">
        <v>79</v>
      </c>
      <c r="K118" s="29"/>
      <c r="L118" s="95"/>
    </row>
    <row r="119" spans="1:12" ht="17" thickBot="1" x14ac:dyDescent="0.25">
      <c r="J119" s="75"/>
      <c r="K119" s="76"/>
      <c r="L119" s="96"/>
    </row>
    <row r="121" spans="1:12" x14ac:dyDescent="0.2">
      <c r="A121" s="58" t="s">
        <v>80</v>
      </c>
      <c r="B121" s="59"/>
      <c r="C121" s="60"/>
      <c r="D121" s="60"/>
      <c r="E121" s="60"/>
      <c r="F121" s="60"/>
      <c r="G121" s="60"/>
      <c r="H121" s="60"/>
      <c r="I121" s="60"/>
      <c r="J121" s="60"/>
      <c r="K121" s="60"/>
      <c r="L121" s="61"/>
    </row>
    <row r="122" spans="1:12" x14ac:dyDescent="0.2">
      <c r="A122" s="27" t="s">
        <v>81</v>
      </c>
      <c r="B122" s="77"/>
      <c r="C122" s="78"/>
      <c r="D122" s="78"/>
      <c r="E122" s="78"/>
      <c r="F122" s="78"/>
      <c r="G122" s="78"/>
      <c r="H122" s="78"/>
      <c r="I122" s="78"/>
      <c r="J122" s="78"/>
      <c r="K122" s="78"/>
      <c r="L122" s="29"/>
    </row>
    <row r="123" spans="1:12" x14ac:dyDescent="0.2">
      <c r="A123" s="30" t="s">
        <v>82</v>
      </c>
      <c r="B123" s="79"/>
      <c r="L123" s="32"/>
    </row>
    <row r="124" spans="1:12" x14ac:dyDescent="0.2">
      <c r="A124" s="30" t="s">
        <v>83</v>
      </c>
      <c r="B124" s="49"/>
      <c r="L124" s="32"/>
    </row>
    <row r="125" spans="1:12" x14ac:dyDescent="0.2">
      <c r="A125" s="30" t="s">
        <v>84</v>
      </c>
      <c r="B125" s="49"/>
      <c r="L125" s="32"/>
    </row>
    <row r="126" spans="1:12" x14ac:dyDescent="0.2">
      <c r="A126" s="30" t="s">
        <v>85</v>
      </c>
      <c r="B126" s="49"/>
      <c r="L126" s="32"/>
    </row>
    <row r="127" spans="1:12" x14ac:dyDescent="0.2">
      <c r="A127" s="30" t="s">
        <v>86</v>
      </c>
      <c r="B127" s="49"/>
      <c r="L127" s="32"/>
    </row>
    <row r="128" spans="1:12" x14ac:dyDescent="0.2">
      <c r="A128" s="55" t="s">
        <v>87</v>
      </c>
      <c r="B128" s="80"/>
      <c r="C128" s="54"/>
      <c r="D128" s="54"/>
      <c r="E128" s="54"/>
      <c r="F128" s="54"/>
      <c r="G128" s="54"/>
      <c r="H128" s="54"/>
      <c r="I128" s="54"/>
      <c r="J128" s="54"/>
      <c r="K128" s="54"/>
      <c r="L128" s="52"/>
    </row>
    <row r="132" spans="1:6" x14ac:dyDescent="0.2">
      <c r="A132" s="32" t="s">
        <v>88</v>
      </c>
      <c r="B132" s="81" t="s">
        <v>89</v>
      </c>
    </row>
    <row r="133" spans="1:6" x14ac:dyDescent="0.2">
      <c r="B133" s="82" t="s">
        <v>90</v>
      </c>
      <c r="D133" s="83"/>
    </row>
    <row r="134" spans="1:6" x14ac:dyDescent="0.2">
      <c r="B134" s="84" t="s">
        <v>91</v>
      </c>
      <c r="C134" s="85"/>
      <c r="D134" s="85"/>
      <c r="E134" s="85"/>
      <c r="F134" s="86"/>
    </row>
    <row r="135" spans="1:6" x14ac:dyDescent="0.2">
      <c r="B135" s="82" t="s">
        <v>92</v>
      </c>
    </row>
    <row r="136" spans="1:6" x14ac:dyDescent="0.2">
      <c r="B136" s="82" t="s">
        <v>93</v>
      </c>
      <c r="E136" t="s">
        <v>94</v>
      </c>
    </row>
    <row r="137" spans="1:6" x14ac:dyDescent="0.2">
      <c r="B137" s="84" t="s">
        <v>95</v>
      </c>
      <c r="C137" s="85"/>
      <c r="D137" s="85"/>
      <c r="E137" s="85" t="s">
        <v>96</v>
      </c>
      <c r="F137" s="86"/>
    </row>
    <row r="138" spans="1:6" x14ac:dyDescent="0.2">
      <c r="B138" s="82" t="s">
        <v>97</v>
      </c>
      <c r="E138" t="s">
        <v>94</v>
      </c>
    </row>
    <row r="139" spans="1:6" x14ac:dyDescent="0.2">
      <c r="B139" s="82" t="s">
        <v>98</v>
      </c>
    </row>
    <row r="140" spans="1:6" x14ac:dyDescent="0.2">
      <c r="B140" s="82" t="s">
        <v>99</v>
      </c>
    </row>
    <row r="141" spans="1:6" x14ac:dyDescent="0.2">
      <c r="B141" s="82" t="s">
        <v>100</v>
      </c>
      <c r="E141" t="s">
        <v>94</v>
      </c>
    </row>
    <row r="142" spans="1:6" x14ac:dyDescent="0.2">
      <c r="B142" s="82" t="s">
        <v>101</v>
      </c>
    </row>
    <row r="143" spans="1:6" x14ac:dyDescent="0.2">
      <c r="B143" s="82" t="s">
        <v>102</v>
      </c>
    </row>
    <row r="144" spans="1:6" x14ac:dyDescent="0.2">
      <c r="B144" s="82" t="s">
        <v>103</v>
      </c>
      <c r="E144" t="s">
        <v>94</v>
      </c>
    </row>
    <row r="145" spans="2:6" x14ac:dyDescent="0.2">
      <c r="B145" s="82" t="s">
        <v>104</v>
      </c>
      <c r="E145" t="s">
        <v>94</v>
      </c>
    </row>
    <row r="146" spans="2:6" x14ac:dyDescent="0.2">
      <c r="B146" s="82" t="s">
        <v>105</v>
      </c>
      <c r="E146" t="s">
        <v>94</v>
      </c>
    </row>
    <row r="147" spans="2:6" x14ac:dyDescent="0.2">
      <c r="B147" s="82" t="s">
        <v>106</v>
      </c>
      <c r="E147" t="s">
        <v>94</v>
      </c>
    </row>
    <row r="148" spans="2:6" x14ac:dyDescent="0.2">
      <c r="B148" s="82" t="s">
        <v>107</v>
      </c>
    </row>
    <row r="149" spans="2:6" x14ac:dyDescent="0.2">
      <c r="B149" s="82" t="s">
        <v>108</v>
      </c>
      <c r="E149" t="s">
        <v>94</v>
      </c>
    </row>
    <row r="150" spans="2:6" x14ac:dyDescent="0.2">
      <c r="B150" s="82" t="s">
        <v>109</v>
      </c>
      <c r="E150" t="s">
        <v>94</v>
      </c>
    </row>
    <row r="151" spans="2:6" x14ac:dyDescent="0.2">
      <c r="B151" s="82" t="s">
        <v>110</v>
      </c>
      <c r="E151" t="s">
        <v>94</v>
      </c>
    </row>
    <row r="152" spans="2:6" x14ac:dyDescent="0.2">
      <c r="B152" s="84" t="s">
        <v>111</v>
      </c>
      <c r="C152" s="85"/>
      <c r="D152" s="85"/>
      <c r="E152" s="85"/>
      <c r="F152" s="86"/>
    </row>
    <row r="153" spans="2:6" x14ac:dyDescent="0.2">
      <c r="B153" s="6" t="s">
        <v>112</v>
      </c>
      <c r="E153" t="s">
        <v>113</v>
      </c>
    </row>
    <row r="155" spans="2:6" x14ac:dyDescent="0.2">
      <c r="B155" s="81" t="s">
        <v>114</v>
      </c>
    </row>
  </sheetData>
  <mergeCells count="71">
    <mergeCell ref="L18:L19"/>
    <mergeCell ref="B6:D7"/>
    <mergeCell ref="B16:G16"/>
    <mergeCell ref="H16:I16"/>
    <mergeCell ref="C18:F18"/>
    <mergeCell ref="K18:K19"/>
    <mergeCell ref="K21:K22"/>
    <mergeCell ref="L21:L22"/>
    <mergeCell ref="C24:F24"/>
    <mergeCell ref="K24:K27"/>
    <mergeCell ref="L24:L27"/>
    <mergeCell ref="C25:E25"/>
    <mergeCell ref="C26:E26"/>
    <mergeCell ref="C29:F29"/>
    <mergeCell ref="K29:K31"/>
    <mergeCell ref="L29:L31"/>
    <mergeCell ref="C33:F33"/>
    <mergeCell ref="K33:K35"/>
    <mergeCell ref="L33:L35"/>
    <mergeCell ref="K37:K38"/>
    <mergeCell ref="L37:L38"/>
    <mergeCell ref="C40:F40"/>
    <mergeCell ref="K40:K44"/>
    <mergeCell ref="L40:L44"/>
    <mergeCell ref="C41:F41"/>
    <mergeCell ref="C64:F64"/>
    <mergeCell ref="K64:K66"/>
    <mergeCell ref="L64:L66"/>
    <mergeCell ref="C65:F65"/>
    <mergeCell ref="C46:F46"/>
    <mergeCell ref="K46:K50"/>
    <mergeCell ref="L46:L50"/>
    <mergeCell ref="C47:F47"/>
    <mergeCell ref="C52:F52"/>
    <mergeCell ref="K52:K56"/>
    <mergeCell ref="L52:L56"/>
    <mergeCell ref="C53:F53"/>
    <mergeCell ref="C58:F58"/>
    <mergeCell ref="K58:K62"/>
    <mergeCell ref="L58:L62"/>
    <mergeCell ref="C59:F59"/>
    <mergeCell ref="C60:F60"/>
    <mergeCell ref="K68:K69"/>
    <mergeCell ref="L68:L69"/>
    <mergeCell ref="H71:I71"/>
    <mergeCell ref="C73:F73"/>
    <mergeCell ref="K73:K77"/>
    <mergeCell ref="L73:L77"/>
    <mergeCell ref="C79:F79"/>
    <mergeCell ref="K79:K83"/>
    <mergeCell ref="L79:L83"/>
    <mergeCell ref="C85:F85"/>
    <mergeCell ref="K85:K89"/>
    <mergeCell ref="L85:L89"/>
    <mergeCell ref="K91:K92"/>
    <mergeCell ref="L91:L92"/>
    <mergeCell ref="K94:K95"/>
    <mergeCell ref="L94:L95"/>
    <mergeCell ref="K97:K100"/>
    <mergeCell ref="L97:L100"/>
    <mergeCell ref="K111:L112"/>
    <mergeCell ref="K114:L115"/>
    <mergeCell ref="L116:L117"/>
    <mergeCell ref="L118:L119"/>
    <mergeCell ref="B102:C102"/>
    <mergeCell ref="K102:K103"/>
    <mergeCell ref="L102:L103"/>
    <mergeCell ref="K105:K106"/>
    <mergeCell ref="L105:L106"/>
    <mergeCell ref="K108:K109"/>
    <mergeCell ref="L108:L109"/>
  </mergeCells>
  <conditionalFormatting sqref="B97">
    <cfRule type="expression" dxfId="327" priority="10">
      <formula>$B$61="No studies available: pH ="</formula>
    </cfRule>
  </conditionalFormatting>
  <conditionalFormatting sqref="C61">
    <cfRule type="expression" dxfId="326" priority="29">
      <formula>$B$61="No studies available: pH ="</formula>
    </cfRule>
  </conditionalFormatting>
  <conditionalFormatting sqref="K6">
    <cfRule type="expression" dxfId="325" priority="185">
      <formula>$K$6="Not checked"</formula>
    </cfRule>
    <cfRule type="expression" dxfId="324" priority="184">
      <formula>$K$6="Checked"</formula>
    </cfRule>
    <cfRule type="expression" dxfId="323" priority="183">
      <formula>$K$6="Need QC"</formula>
    </cfRule>
  </conditionalFormatting>
  <conditionalFormatting sqref="K18:K19">
    <cfRule type="expression" dxfId="322" priority="178">
      <formula>OR(C18="TLV A1",C18="TLV A2",C18="TLV A3",C18="Carc. 1A: H350: May cause cancer",C18="Carc. 1B: H350: May cause cancer",C18="Carc. 2: H351: Suspected of causing cancer")</formula>
    </cfRule>
    <cfRule type="expression" dxfId="321" priority="154">
      <formula>$K$18="Manually set to: Grey"</formula>
    </cfRule>
    <cfRule type="expression" dxfId="320" priority="161">
      <formula>$K$18="Manually set to: Red"</formula>
    </cfRule>
    <cfRule type="expression" dxfId="319" priority="162">
      <formula>$K$18="Manually set to: Yellow"</formula>
    </cfRule>
    <cfRule type="expression" dxfId="318" priority="163">
      <formula>$K$18="Manually set to: Green"</formula>
    </cfRule>
    <cfRule type="expression" dxfId="317" priority="182">
      <formula>OR(C18="IARC 3",C18="TLV A4")</formula>
    </cfRule>
    <cfRule type="expression" dxfId="316" priority="181">
      <formula>OR(C18="TLV A5",C18="IARC 4")</formula>
    </cfRule>
    <cfRule type="expression" dxfId="315" priority="180">
      <formula>OR(C18="MAK III 3A",C18="MAK III 4",C18="MAK III 5")</formula>
    </cfRule>
    <cfRule type="expression" dxfId="314" priority="179">
      <formula>OR(C18="MAK III 1",C18="MAK III 2",C18="MAK III 3B",C18="IARC 1",C18="IARC 2A",C18="IARC 2B")</formula>
    </cfRule>
  </conditionalFormatting>
  <conditionalFormatting sqref="K21:K22">
    <cfRule type="expression" dxfId="313" priority="159">
      <formula>$K$21="Manually set to: Yellow"</formula>
    </cfRule>
    <cfRule type="expression" dxfId="312" priority="158">
      <formula>$K$21="Manually set to: Green"</formula>
    </cfRule>
    <cfRule type="expression" dxfId="311" priority="160">
      <formula>$K$21="Manually set to: Red"</formula>
    </cfRule>
    <cfRule type="expression" dxfId="310" priority="153">
      <formula>$K$21="Manually set to: Grey"</formula>
    </cfRule>
  </conditionalFormatting>
  <conditionalFormatting sqref="K24">
    <cfRule type="expression" dxfId="309" priority="32">
      <formula>$K$24="Manually set to: Red"</formula>
    </cfRule>
    <cfRule type="expression" dxfId="308" priority="35">
      <formula>OR($C$24="Muta. 1A: H340: May cause genetic defects",$C$24="Muta. 1B: H340: May cause genetic defects",$C$24="Muta. 2: H341: Suspected of causing genetic defects",$C$24="MAK IX 1",$C$24="MAK IX 2",$C$24="MAK IX 3A",$C$24="MAK IX 3B")</formula>
    </cfRule>
    <cfRule type="expression" dxfId="307" priority="34">
      <formula>$K$24="Manually set to: Green"</formula>
    </cfRule>
    <cfRule type="expression" dxfId="306" priority="33">
      <formula>$K$24="Manually set to: Yellow"</formula>
    </cfRule>
    <cfRule type="expression" dxfId="305" priority="31">
      <formula>$K$24="Manually set to: Grey"</formula>
    </cfRule>
  </conditionalFormatting>
  <conditionalFormatting sqref="K29">
    <cfRule type="expression" dxfId="304" priority="191">
      <formula>OR($C$29="Repr. 1A: H360: May damage fertility or the unborn child",$C$29="Repr. 1B: H360: May damage fertility or the unborn child",$C$29="Repr. 2: H361: Suspected of damaging fertility or the unborn child",$C$29="MAK A",$C$29="MAK B")</formula>
    </cfRule>
    <cfRule type="expression" dxfId="303" priority="190">
      <formula>$C$29="MAK C"</formula>
    </cfRule>
    <cfRule type="expression" dxfId="302" priority="189">
      <formula>AND($B$30="Oral NOAEL =",$C$30&lt;50,$C$30&gt;0)</formula>
    </cfRule>
    <cfRule type="expression" dxfId="301" priority="175">
      <formula>AND($B$30="Inhalation NOAEL =",$C$30&gt;=2.5,ISNUMBER($C$30))</formula>
    </cfRule>
    <cfRule type="expression" dxfId="300" priority="176">
      <formula>AND($B$30="Inhalation NOAEL =",$C$30&gt;=0.25,ISNUMBER($C$30))</formula>
    </cfRule>
    <cfRule type="expression" dxfId="299" priority="188">
      <formula>AND($B$30="Oral NOAEL =",$C$30&gt;=50,ISNUMBER($C$30))</formula>
    </cfRule>
    <cfRule type="expression" dxfId="298" priority="187">
      <formula>AND($B$30="Oral NOAEL =",$C$30&gt;=500,ISNUMBER($C$30))</formula>
    </cfRule>
    <cfRule type="expression" dxfId="297" priority="177">
      <formula>AND($B$30="Inhalation NOAEL =",$C$30&lt;0.25,$C$30&gt;0)</formula>
    </cfRule>
  </conditionalFormatting>
  <conditionalFormatting sqref="K29:K31">
    <cfRule type="expression" dxfId="296" priority="30">
      <formula>$K$29="Manually set to: Grey"</formula>
    </cfRule>
    <cfRule type="expression" dxfId="295" priority="165">
      <formula>$K$29="Manually set to: Yellow"</formula>
    </cfRule>
    <cfRule type="expression" dxfId="294" priority="166">
      <formula>$K$29="Manually set to: Green"</formula>
    </cfRule>
    <cfRule type="expression" dxfId="293" priority="164">
      <formula>$K$29="Manually set to:  Red"</formula>
    </cfRule>
  </conditionalFormatting>
  <conditionalFormatting sqref="K33">
    <cfRule type="expression" dxfId="292" priority="167">
      <formula>AND($B$34="Inhalation NOAEL =",$C$34&gt;=2.5,ISNUMBER($C$34))</formula>
    </cfRule>
    <cfRule type="expression" dxfId="291" priority="168">
      <formula>AND($B$34="Inhalation NOAEL =",$C$34&gt;=0.25,ISNUMBER($C$34))</formula>
    </cfRule>
    <cfRule type="expression" dxfId="290" priority="169">
      <formula>AND($B$34="Inhalation NOAEL =",$C$34&lt;0.25,$C$34&gt;0)</formula>
    </cfRule>
    <cfRule type="expression" dxfId="289" priority="170">
      <formula>AND($B$34="Oral NOAEL =",$C$34&gt;=500,ISNUMBER($C$34))</formula>
    </cfRule>
    <cfRule type="expression" dxfId="288" priority="174">
      <formula>OR($C$33="Repr. 1A: H360: May damage fertility or the unborn child",$C$33="Repr. 1B: H360: May damage fertility or the unborn child",$C$33="Repr. 2: H361: Suspected of damaging fertility or the unborn child",$C$33="MAK A",$C$33="MAK B")</formula>
    </cfRule>
    <cfRule type="expression" dxfId="287" priority="173">
      <formula>$C$33="MAK C"</formula>
    </cfRule>
    <cfRule type="expression" dxfId="286" priority="172">
      <formula>AND($B$34="Oral NOAEL =",$C$34&lt;50,$C$34&gt;0)</formula>
    </cfRule>
    <cfRule type="expression" dxfId="285" priority="171">
      <formula>AND($B$34="Oral NOAEL =",$C$34&gt;=50,ISNUMBER($C$34))</formula>
    </cfRule>
  </conditionalFormatting>
  <conditionalFormatting sqref="K33:K35">
    <cfRule type="expression" dxfId="284" priority="157">
      <formula>$K$33="Manually set to: Green"</formula>
    </cfRule>
    <cfRule type="expression" dxfId="283" priority="155">
      <formula>$K$33="Manually set to: Red"</formula>
    </cfRule>
    <cfRule type="expression" dxfId="282" priority="156">
      <formula>$K$33="Manually set to: Yellow"</formula>
    </cfRule>
    <cfRule type="expression" dxfId="281" priority="152">
      <formula>$K$33="Manually set to: Grey"</formula>
    </cfRule>
  </conditionalFormatting>
  <conditionalFormatting sqref="K37:K38">
    <cfRule type="expression" dxfId="280" priority="67">
      <formula>$K$37="Manually set to: Green"</formula>
    </cfRule>
    <cfRule type="expression" dxfId="279" priority="66">
      <formula>$K$37="Manually set to: Yellow"</formula>
    </cfRule>
    <cfRule type="expression" dxfId="278" priority="65">
      <formula>$K$37="Manually set to: Red"</formula>
    </cfRule>
    <cfRule type="expression" dxfId="277" priority="64">
      <formula>$K$37="Manually set to: Grey"</formula>
    </cfRule>
  </conditionalFormatting>
  <conditionalFormatting sqref="K40:K44">
    <cfRule type="expression" dxfId="276" priority="204">
      <formula>$C$41="STOT RE 2: H373: May cause damage via repeated oral exposure"</formula>
    </cfRule>
    <cfRule type="expression" dxfId="275" priority="203">
      <formula>$C$41="STOT RE 1: H372: Causes damage via repeated oral exposure"</formula>
    </cfRule>
    <cfRule type="expression" dxfId="274" priority="205">
      <formula>$C$40="Acute Tox. 4: H302: Harmful if swallowed"</formula>
    </cfRule>
    <cfRule type="expression" dxfId="273" priority="206">
      <formula>AND($C$42&gt;=2000,$C$43&gt;=100,ISNUMBER($C$42),ISNUMBER($C$43))</formula>
    </cfRule>
    <cfRule type="expression" dxfId="272" priority="207">
      <formula>AND(OR($C$42&gt;=300,$C$43&gt;=10),ISNUMBER($C$42),ISNUMBER($C$43))</formula>
    </cfRule>
    <cfRule type="expression" dxfId="271" priority="202">
      <formula>$C$40="Acute Tox. 1: H300: Fatal if swallowed"</formula>
    </cfRule>
    <cfRule type="expression" dxfId="270" priority="201">
      <formula>$C$40="Acute Tox. 2: H300: Fatal if swallowed"</formula>
    </cfRule>
    <cfRule type="expression" dxfId="269" priority="200">
      <formula>$C$40="Acute Tox. 3: H301: Toxic if swallowed"</formula>
    </cfRule>
    <cfRule type="expression" dxfId="268" priority="199">
      <formula>$C$40="Asp. Tox. 1: H304: May be fatal if swallowed and enters airways"</formula>
    </cfRule>
    <cfRule type="expression" dxfId="267" priority="198">
      <formula>$C$41="STOT SE 1: H370: Causes damage to organs via oral exposure"</formula>
    </cfRule>
    <cfRule type="expression" dxfId="266" priority="192">
      <formula>$K$40="Manually set to: Grey"</formula>
    </cfRule>
    <cfRule type="expression" dxfId="265" priority="193">
      <formula>$K$40="Manually set to: Green"</formula>
    </cfRule>
    <cfRule type="expression" dxfId="264" priority="197">
      <formula>$C$41="STOT RE 1: H372: Causes damage trough repeated oral exposure"</formula>
    </cfRule>
    <cfRule type="expression" dxfId="263" priority="196">
      <formula>OR(AND(ISNUMBER($C$42),$C$42&lt;300),AND(ISNUMBER($C$43),$C$43&lt;10))</formula>
    </cfRule>
    <cfRule type="expression" dxfId="262" priority="195">
      <formula>$K$40="Manually set to: Red"</formula>
    </cfRule>
    <cfRule type="expression" dxfId="261" priority="194">
      <formula>$K$40="Manually set to: Yellow"</formula>
    </cfRule>
  </conditionalFormatting>
  <conditionalFormatting sqref="K46">
    <cfRule type="expression" dxfId="260" priority="252">
      <formula>AND($B$48="Acute: LC50 (vapor) =",AND($C$48&gt;=10,$C$48&lt;20),ISNUMBER($C$48))</formula>
    </cfRule>
    <cfRule type="expression" dxfId="259" priority="249">
      <formula>AND($B$49="Chronic: LOAEL (vapor) =",AND($C$49&gt;=0.2,$C$49&lt;1),ISNUMBER($C$49))</formula>
    </cfRule>
    <cfRule type="expression" dxfId="258" priority="243">
      <formula>AND($B$49="Chronic: LOAEL (gas) =",$C$49&lt;50,ISNUMBER($C$49))</formula>
    </cfRule>
    <cfRule type="expression" dxfId="257" priority="242">
      <formula>AND($B$48="Acute: LC50 (vapor) =",$C$48&lt;10,ISNUMBER($C$48))</formula>
    </cfRule>
    <cfRule type="expression" dxfId="256" priority="241">
      <formula>AND($B$48="Acute: LC50 (dust/mist/aerosol) =",$C$48&lt;1,ISNUMBER($C$48))</formula>
    </cfRule>
    <cfRule type="expression" dxfId="255" priority="240">
      <formula>AND($B$48="Acute: LC50 (gas) =",$C$48&lt;2500,ISNUMBER($C$48))</formula>
    </cfRule>
    <cfRule type="expression" dxfId="254" priority="239">
      <formula>OR($C$47="STOT SE 1: H370: Damages organs via inhal. exp.",$C$47="STOT RE 1: H372: Damages organs via repeated inhal. exp.")</formula>
    </cfRule>
    <cfRule type="expression" dxfId="253" priority="238">
      <formula>OR($C$46="Acute Tox. 1: H330: Fatal if inhaled",$C$46="Acute Tox. 2: H330: Fatal if inhaled",$C$46="Acute Tox. 3: H331: Toxic if inhaled")</formula>
    </cfRule>
    <cfRule type="expression" dxfId="252" priority="237">
      <formula>$K$46="Manually set to: Green"</formula>
    </cfRule>
    <cfRule type="expression" dxfId="251" priority="245">
      <formula>AND($B$49="Chronic: LOAEL (dust/mist/aerosol) =",$C$49&lt;0.02,ISNUMBER($C$49))</formula>
    </cfRule>
    <cfRule type="expression" dxfId="250" priority="235">
      <formula>$K$46="Manually set to: Red"</formula>
    </cfRule>
    <cfRule type="expression" dxfId="249" priority="258">
      <formula>AND($B$48="Acute: LC50 (vapor) =",$C$48&gt;=20,ISNUMBER($C$48))</formula>
    </cfRule>
    <cfRule type="expression" dxfId="248" priority="257">
      <formula>AND($B$48="Acute: LC50 (gas) =",$C$48&gt;=20000,ISNUMBER($C$48))</formula>
    </cfRule>
    <cfRule type="expression" dxfId="247" priority="259">
      <formula>AND($B$48="Acute: LC50 (dust/mist/aerosol) =",$C$48&gt;=5,ISNUMBER($C$48))</formula>
    </cfRule>
    <cfRule type="expression" dxfId="246" priority="256">
      <formula>AND($B$49="Chronic: LOAEL (dust/mist/aerosol) =",$C$49&gt;=0.2,ISNUMBER($C$49))</formula>
    </cfRule>
    <cfRule type="expression" dxfId="245" priority="255">
      <formula>AND($B$49="Chronic: LOAEL (gas) =",$C$49&gt;=250,ISNUMBER($C$49))</formula>
    </cfRule>
    <cfRule type="expression" dxfId="244" priority="254">
      <formula>AND($B$49="Chronic: LOAEL (vapor) =",$C$49&gt;=1,ISNUMBER($C$49))</formula>
    </cfRule>
    <cfRule type="expression" dxfId="243" priority="253">
      <formula>AND($B$48="Acute: LC50 (dust/mist/aerosol) =",AND($C$48&gt;=1,$C$48&lt;5),ISNUMBER($C$48))</formula>
    </cfRule>
    <cfRule type="expression" dxfId="242" priority="234">
      <formula>$K$46="Manually set to: Grey"</formula>
    </cfRule>
    <cfRule type="expression" dxfId="241" priority="246">
      <formula>$C$46="Acute Tox. 4: H332: Harmful if inhaled"</formula>
    </cfRule>
    <cfRule type="expression" dxfId="240" priority="247">
      <formula>OR($C$47="STOT SE 2: H371: May damage organs via inhal. exp.",$C$47="STOT RE 2: H373: May damage organs via repeated inhal. exp.",$C$47="STOT SE 3: H336: May cause drowsiness")</formula>
    </cfRule>
    <cfRule type="expression" dxfId="239" priority="248">
      <formula>AND($B$49="Chronic: LOAEL (gas) =",AND($C$49&gt;=50,$C$49&lt;250),ISNUMBER($C$49))</formula>
    </cfRule>
    <cfRule type="expression" dxfId="238" priority="236">
      <formula>$K$46="Manually set to: Yellow"</formula>
    </cfRule>
    <cfRule type="expression" dxfId="237" priority="251">
      <formula>AND($B$48="Acute: LC50 (gas) =",AND($C$48&gt;=2500,$C$48&lt;20000),ISNUMBER($C$48))</formula>
    </cfRule>
    <cfRule type="expression" dxfId="236" priority="250">
      <formula>AND($B$49="Chronic: LOAEL (dust/mist/aerosol) =",AND($C$49&gt;=0.02,$C$49&lt;0.2),ISNUMBER($C$49))</formula>
    </cfRule>
    <cfRule type="expression" dxfId="235" priority="244">
      <formula>AND($B$49="Chronic: LOAEL (vapor) =",$C$49&lt;0.2,ISNUMBER($C$49))</formula>
    </cfRule>
  </conditionalFormatting>
  <conditionalFormatting sqref="K52:K56">
    <cfRule type="expression" dxfId="234" priority="219">
      <formula>$C$53="STOT SE 2: H371: May cause damage to organs via dermal exposure"</formula>
    </cfRule>
    <cfRule type="expression" dxfId="233" priority="218">
      <formula>$C$52="Acute Tox. 1: H310: Fatal in contact with skin"</formula>
    </cfRule>
    <cfRule type="expression" dxfId="232" priority="217">
      <formula>$C$52="Acute Tox. 2: H310: Fatal in contact with skin"</formula>
    </cfRule>
    <cfRule type="expression" dxfId="231" priority="216">
      <formula>$C$52="Acute Tox. 3: H311: Toxic in contact with skin"</formula>
    </cfRule>
    <cfRule type="expression" dxfId="230" priority="215">
      <formula>$C$53="STOT SE 1: H370: Causes damage to organs via dermal exposure"</formula>
    </cfRule>
    <cfRule type="expression" dxfId="229" priority="214">
      <formula>$C$53="STOT SE 1: H370: Causes damage to organs via oral exposure"</formula>
    </cfRule>
    <cfRule type="expression" dxfId="228" priority="213">
      <formula>$C$53="STOT RE 1: H372: Causes damage via repeated dermal exposure"</formula>
    </cfRule>
    <cfRule type="expression" dxfId="227" priority="212">
      <formula>OR(AND(ISNUMBER($C$54),$C$54&lt;1000),AND(ISNUMBER($C$55),$C$55&lt;20))</formula>
    </cfRule>
    <cfRule type="expression" dxfId="226" priority="211">
      <formula>$K$52="Manually set to: Red"</formula>
    </cfRule>
    <cfRule type="expression" dxfId="225" priority="210">
      <formula>$K$52="Manually set to: Yellow"</formula>
    </cfRule>
    <cfRule type="expression" dxfId="224" priority="209">
      <formula>$K$52="Manually set to: Green"</formula>
    </cfRule>
    <cfRule type="expression" dxfId="223" priority="208">
      <formula>$K$52="Manually set to: Grey"</formula>
    </cfRule>
    <cfRule type="expression" dxfId="222" priority="220">
      <formula>$C$53="STOT RE 2: H373: May cause damage via repeated dermal exposure"</formula>
    </cfRule>
    <cfRule type="expression" dxfId="221" priority="221">
      <formula>$C$52="Acute Tox. 4: H312: Harmful in contact with skin"</formula>
    </cfRule>
    <cfRule type="expression" dxfId="220" priority="222">
      <formula>OR(AND(ISNUMBER($C$54),$C$54&gt;=1000,$C$54&lt;2000),AND(ISNUMBER($C$55),$C$55&gt;=20,$C$55&lt;200))</formula>
    </cfRule>
    <cfRule type="expression" dxfId="219" priority="223">
      <formula>OR(AND(ISNUMBER($C$54),$C$54&gt;=2000),AND(ISNUMBER($C$55),$C$55&gt;=200))</formula>
    </cfRule>
  </conditionalFormatting>
  <conditionalFormatting sqref="K58">
    <cfRule type="expression" dxfId="218" priority="27">
      <formula>$K$58="Manually set to: Yellow"</formula>
    </cfRule>
    <cfRule type="expression" dxfId="217" priority="307">
      <formula>$C$58="Skin Corr. 1: H314 Causes severe skin burns and eye damage"</formula>
    </cfRule>
    <cfRule type="expression" dxfId="216" priority="308">
      <formula>$C$60="STOT SE 3: H335 May cause respiratory tract irritation"</formula>
    </cfRule>
    <cfRule type="expression" dxfId="215" priority="309">
      <formula>$C$60="Irritating according to testing"</formula>
    </cfRule>
    <cfRule type="expression" dxfId="214" priority="310">
      <formula>$C$59="Eye irritating according to testing"</formula>
    </cfRule>
    <cfRule type="expression" dxfId="213" priority="311">
      <formula>$C$58="Skin irritating according to testing"</formula>
    </cfRule>
    <cfRule type="expression" dxfId="212" priority="312">
      <formula>$C$59="Eye irrit. 2b: H320 Causes eye irritation"</formula>
    </cfRule>
    <cfRule type="expression" dxfId="211" priority="313">
      <formula>$C$59="Eye irrit. 2a: H319 Causes serious eye irritation"</formula>
    </cfRule>
    <cfRule type="expression" dxfId="210" priority="314">
      <formula>$C$58="Skin Irrit. 2: H315 Causes skin irritation"</formula>
    </cfRule>
    <cfRule type="expression" dxfId="209" priority="315">
      <formula>$C$58="Not irritating according to testing"</formula>
    </cfRule>
    <cfRule type="expression" dxfId="208" priority="316">
      <formula>$C$60="Not irritating according to testing"</formula>
    </cfRule>
    <cfRule type="expression" dxfId="207" priority="317">
      <formula>$C$59="Not irritating according to testing"</formula>
    </cfRule>
    <cfRule type="expression" dxfId="206" priority="306">
      <formula>$C$59="Eye Dam. 1: H318 Causes serious eye damage"</formula>
    </cfRule>
    <cfRule type="expression" dxfId="205" priority="305">
      <formula>$C$60="Corrosive according to testing"</formula>
    </cfRule>
    <cfRule type="expression" dxfId="204" priority="304">
      <formula>$C$58="Skin corrosive according to testing"</formula>
    </cfRule>
    <cfRule type="expression" dxfId="203" priority="303">
      <formula>$C$59="Eye damaging according to testing"</formula>
    </cfRule>
    <cfRule type="expression" dxfId="202" priority="25">
      <formula>$K$58="Manually set to: Grey"</formula>
    </cfRule>
    <cfRule type="expression" dxfId="201" priority="26">
      <formula>$K$58="Manually set to: Green"</formula>
    </cfRule>
    <cfRule type="expression" dxfId="200" priority="28">
      <formula>$K$58="Manually set to: Red"</formula>
    </cfRule>
  </conditionalFormatting>
  <conditionalFormatting sqref="K58:K62">
    <cfRule type="expression" dxfId="199" priority="302">
      <formula>AND(ISNUMBER($C$61),$B$61="No studies available: pH =",OR($C$61&lt;=2,$C$61&gt;=11.5))</formula>
    </cfRule>
  </conditionalFormatting>
  <conditionalFormatting sqref="K64:K66">
    <cfRule type="expression" dxfId="198" priority="233">
      <formula>$C$65="Not sensitzing according to testing"</formula>
    </cfRule>
    <cfRule type="expression" dxfId="197" priority="229">
      <formula>$C$65="Sensitizing according to testing"</formula>
    </cfRule>
    <cfRule type="expression" dxfId="196" priority="232">
      <formula>$C$64="Not sensitzing according to testing"</formula>
    </cfRule>
    <cfRule type="expression" dxfId="195" priority="21">
      <formula>$K$64="Manually set to: Green"</formula>
    </cfRule>
    <cfRule type="expression" dxfId="194" priority="20">
      <formula>$K$64="Manually set to: Grey"</formula>
    </cfRule>
    <cfRule type="expression" dxfId="193" priority="231">
      <formula>$C$64="Skin Sens. 1: H317 May cause an allergic skin reaction"</formula>
    </cfRule>
    <cfRule type="expression" dxfId="192" priority="230">
      <formula>$C$65="Resp. Sens. 1: H334 May cause allergy or asthma symptoms or breathing difficulties if inhaled"</formula>
    </cfRule>
    <cfRule type="expression" dxfId="191" priority="224">
      <formula>$K$64="Manually set to: Yellow"</formula>
    </cfRule>
    <cfRule type="expression" dxfId="190" priority="225">
      <formula>$K$64="Manually set to: Red"</formula>
    </cfRule>
    <cfRule type="expression" dxfId="189" priority="226">
      <formula>$C$64="Sensitizing according to testing"</formula>
    </cfRule>
    <cfRule type="expression" dxfId="188" priority="227">
      <formula>$C$64="MAK Sh"</formula>
    </cfRule>
    <cfRule type="expression" dxfId="187" priority="228">
      <formula>$C$65="MAK Sa"</formula>
    </cfRule>
  </conditionalFormatting>
  <conditionalFormatting sqref="K68:K69">
    <cfRule type="expression" dxfId="186" priority="60">
      <formula>$K$68="Manually set to: Grey"</formula>
    </cfRule>
    <cfRule type="expression" dxfId="185" priority="61">
      <formula>$K$68="Manually set to: Green"</formula>
    </cfRule>
    <cfRule type="expression" dxfId="184" priority="62">
      <formula>$K$68="Manually set to: Yellow"</formula>
    </cfRule>
    <cfRule type="expression" dxfId="183" priority="63">
      <formula>$K$68="Manually set to: Red"</formula>
    </cfRule>
  </conditionalFormatting>
  <conditionalFormatting sqref="K73">
    <cfRule type="expression" dxfId="182" priority="269">
      <formula>AND($C$75&gt;=10,ISNUMBER($C$75))</formula>
    </cfRule>
    <cfRule type="expression" dxfId="181" priority="3">
      <formula>$K$73="Manually set to: Grey"</formula>
    </cfRule>
    <cfRule type="expression" dxfId="180" priority="9">
      <formula>$K$73="Manually set to: Green"</formula>
    </cfRule>
    <cfRule type="expression" dxfId="179" priority="263">
      <formula>AND($C$74&lt;10,ISNUMBER($C$74))</formula>
    </cfRule>
    <cfRule type="expression" dxfId="178" priority="264">
      <formula>AND($C$75&lt;1,ISNUMBER($C$75))</formula>
    </cfRule>
    <cfRule type="expression" dxfId="177" priority="262">
      <formula>OR($C$73="Aqua. Acute 1: H400",$C$73="Aqua. Chronic 1: H410",$C$73="Aqua. Chronic 2: H411",$C$73="Aqua. Chronic 3: H412",$C$73="Aqua. Chronic 4: H413")</formula>
    </cfRule>
    <cfRule type="expression" dxfId="176" priority="261">
      <formula>AND($C$76&lt;=0.001,ISNUMBER($C$76))</formula>
    </cfRule>
    <cfRule type="expression" dxfId="175" priority="265">
      <formula>AND($C$74&gt;=100,ISNUMBER($C$74),$C$75&gt;=10,ISNUMBER($C$75))</formula>
    </cfRule>
    <cfRule type="expression" dxfId="174" priority="266">
      <formula>OR($C$73="Aqua. Acute 2: H401",$C$73="Aqua. Acute 3: H402")</formula>
    </cfRule>
    <cfRule type="expression" dxfId="173" priority="267">
      <formula>AND($C$75&gt;=1,ISNUMBER($C$75),$C$74&gt;=10,ISNUMBER($C$74))</formula>
    </cfRule>
    <cfRule type="expression" dxfId="172" priority="24">
      <formula>$K$73="Manually set to: Yellow"</formula>
    </cfRule>
    <cfRule type="expression" dxfId="171" priority="268">
      <formula>AND($C$74&gt;=100,ISNUMBER($C$74))</formula>
    </cfRule>
    <cfRule type="expression" dxfId="170" priority="260">
      <formula>$K$73="Manually set to: Red"</formula>
    </cfRule>
  </conditionalFormatting>
  <conditionalFormatting sqref="K79">
    <cfRule type="expression" dxfId="169" priority="2">
      <formula>$K$79="Manually set to: Grey"</formula>
    </cfRule>
    <cfRule type="expression" dxfId="168" priority="8">
      <formula>$K$79="Manually set to: Green"</formula>
    </cfRule>
    <cfRule type="expression" dxfId="167" priority="270">
      <formula>$K$79="Manually set to: Red"</formula>
    </cfRule>
    <cfRule type="expression" dxfId="166" priority="271">
      <formula>AND($C$82&lt;=0.001,ISNUMBER($C$82))</formula>
    </cfRule>
    <cfRule type="expression" dxfId="165" priority="272">
      <formula>OR($C$79="Aqua. Acute 1: H400",$C$79="Aqua. Chronic 1: H410",$C$79="Aqua. Chronic 2: H411",$C$79="Aqua. Chronic 3: H412",$C$79="Aqua. Chronic 4: H413")</formula>
    </cfRule>
    <cfRule type="expression" dxfId="164" priority="273">
      <formula>AND($C$80&lt;10,ISNUMBER($C$80))</formula>
    </cfRule>
    <cfRule type="expression" dxfId="163" priority="274">
      <formula>AND($C$81&lt;1,ISNUMBER($C$81))</formula>
    </cfRule>
    <cfRule type="expression" dxfId="162" priority="23">
      <formula>$K$79="Manually set to: Yellow"</formula>
    </cfRule>
    <cfRule type="expression" dxfId="161" priority="275">
      <formula>AND($C$81&gt;=10,ISNUMBER($C$81),$C$80&gt;=100,ISNUMBER($C$80))</formula>
    </cfRule>
    <cfRule type="expression" dxfId="160" priority="276">
      <formula>AND($C$80&gt;=10,ISNUMBER($C$80),$C$81&gt;=1,ISNUMBER($C$81))</formula>
    </cfRule>
    <cfRule type="expression" dxfId="159" priority="277">
      <formula>OR($C$79="Aqua. Acute 2: H401",$C$79="Aqua. Acute 3: H402")</formula>
    </cfRule>
    <cfRule type="expression" dxfId="158" priority="278">
      <formula>AND($C$80&gt;=100,ISNUMBER($C$80))</formula>
    </cfRule>
    <cfRule type="expression" dxfId="157" priority="279">
      <formula>AND($C$81&gt;=10,ISNUMBER($C$81))</formula>
    </cfRule>
  </conditionalFormatting>
  <conditionalFormatting sqref="K85">
    <cfRule type="expression" dxfId="156" priority="290">
      <formula>AND($C$87&gt;=10,ISNUMBER($C$87))</formula>
    </cfRule>
    <cfRule type="expression" dxfId="155" priority="281">
      <formula>$K$85="Manually set to: Red"</formula>
    </cfRule>
    <cfRule type="expression" dxfId="154" priority="282">
      <formula>AND($C$88&lt;=0.001,ISNUMBER($C$88))</formula>
    </cfRule>
    <cfRule type="expression" dxfId="153" priority="283">
      <formula>OR($C$85="Aqua. Acute 1: H400",$C$85="Aqua. Chronic 1: H410",$C$85="Aqua. Chronic 2: H411",$C$85="Aqua. Chronic 3: H412",$C$85="Aqua. Chronic 4: H413")</formula>
    </cfRule>
    <cfRule type="expression" dxfId="152" priority="280">
      <formula>$K$85="Manually set to: Yellow"</formula>
    </cfRule>
    <cfRule type="expression" dxfId="151" priority="284">
      <formula>AND($C$86&lt;10,ISNUMBER($C$86))</formula>
    </cfRule>
    <cfRule type="expression" dxfId="150" priority="22">
      <formula>$K$85="Manually set to: Green"</formula>
    </cfRule>
    <cfRule type="expression" dxfId="149" priority="1">
      <formula>$K$85="Manually set to: Grey"</formula>
    </cfRule>
    <cfRule type="expression" dxfId="148" priority="285">
      <formula>AND($C$87&lt;1,ISNUMBER($C$87))</formula>
    </cfRule>
    <cfRule type="expression" dxfId="147" priority="286">
      <formula>AND($C$86&gt;=100,ISNUMBER($C$86),$C$87&gt;=10,ISNUMBER($C$87))</formula>
    </cfRule>
    <cfRule type="expression" dxfId="146" priority="287">
      <formula>OR($C$85="Aqua. Acute 2: H401",$C$85="Aqua. Acute 3: H402")</formula>
    </cfRule>
    <cfRule type="expression" dxfId="145" priority="288">
      <formula>AND($C$86&gt;=10,ISNUMBER($C$86),$C$87&gt;=1,ISNUMBER($C$87))</formula>
    </cfRule>
    <cfRule type="expression" dxfId="144" priority="289">
      <formula>AND($C$86&gt;=100,ISNUMBER($C$86))</formula>
    </cfRule>
  </conditionalFormatting>
  <conditionalFormatting sqref="K91:K92">
    <cfRule type="expression" dxfId="143" priority="59">
      <formula>$K$91="Manually set to: Red"</formula>
    </cfRule>
    <cfRule type="expression" dxfId="142" priority="58">
      <formula>$K$91="Manually set to: Yellow"</formula>
    </cfRule>
    <cfRule type="expression" dxfId="141" priority="57">
      <formula>$K$91="Manually set to: Green"</formula>
    </cfRule>
    <cfRule type="expression" dxfId="140" priority="56">
      <formula>$K$91="Manually set to: Grey"</formula>
    </cfRule>
  </conditionalFormatting>
  <conditionalFormatting sqref="K94:K95">
    <cfRule type="expression" dxfId="139" priority="55">
      <formula>$K$94="Manually set to: Red"</formula>
    </cfRule>
    <cfRule type="expression" dxfId="138" priority="54">
      <formula>$K$94="Manually set to: Yellow"</formula>
    </cfRule>
    <cfRule type="expression" dxfId="137" priority="53">
      <formula>$K$94="Manually set to: Green"</formula>
    </cfRule>
    <cfRule type="expression" dxfId="136" priority="52">
      <formula>$K$94="Manually set to: Grey"</formula>
    </cfRule>
  </conditionalFormatting>
  <conditionalFormatting sqref="K97">
    <cfRule type="expression" dxfId="135" priority="295">
      <formula>AND($B$97="BCF/BAF (QSAR):",$C$97&gt;5000,$C$98&lt;6,ISNUMBER($C$97),ISNUMBER($C$98))</formula>
    </cfRule>
    <cfRule type="expression" dxfId="134" priority="294">
      <formula>AND($B$97="BCF/BAF (experimental):",$C$97&gt;5000,ISNUMBER($C$97))</formula>
    </cfRule>
    <cfRule type="expression" dxfId="133" priority="293">
      <formula>AND($C$98&lt;2,ISNUMBER($C$98))</formula>
    </cfRule>
    <cfRule type="expression" dxfId="132" priority="292">
      <formula>AND($C$99&gt;=1000,ISNUMBER($C$99))</formula>
    </cfRule>
    <cfRule type="expression" dxfId="131" priority="291">
      <formula>$K$97="Manually set to: Red"</formula>
    </cfRule>
    <cfRule type="expression" dxfId="130" priority="296">
      <formula>AND($B$97="BCF/BAF (QSAR):",$C$97&gt;2000,$C$97&lt;=5000,$C$98&lt;6,ISNUMBER($C$97),ISNUMBER($C$98))</formula>
    </cfRule>
    <cfRule type="expression" dxfId="129" priority="297">
      <formula>AND($B$97="BCF/BAF (experimental):",$C$97&gt;2000,ISNUMBER($C$97))</formula>
    </cfRule>
    <cfRule type="expression" dxfId="128" priority="298">
      <formula>AND($B$97="BCF/BAF (experimental):",$C$97&gt;500,ISNUMBER($C$97))</formula>
    </cfRule>
    <cfRule type="expression" dxfId="127" priority="299">
      <formula>AND($B$97="BCF/BAF (QSAR):",$C$97&gt;500,$C$98&lt;6,ISNUMBER($C$97),ISNUMBER($C$98))</formula>
    </cfRule>
    <cfRule type="expression" dxfId="126" priority="300">
      <formula>AND($B$97="BCF/BAF (QSAR):",$C$97&lt;=500,$C$98&lt;6,ISNUMBER($C$97),ISNUMBER($C$98))</formula>
    </cfRule>
    <cfRule type="expression" dxfId="125" priority="301">
      <formula>AND($B$97="BCF/BAF (experimental):",$C$97&lt;=500,ISNUMBER($C$97))</formula>
    </cfRule>
    <cfRule type="expression" dxfId="124" priority="7">
      <formula>$K$97="Manually set to: Yellow"</formula>
    </cfRule>
    <cfRule type="expression" dxfId="123" priority="6">
      <formula>$K$97="Manually set to: Green"</formula>
    </cfRule>
    <cfRule type="expression" dxfId="122" priority="5">
      <formula>$K$97="Manually set to: Grey"</formula>
    </cfRule>
    <cfRule type="expression" dxfId="121" priority="4">
      <formula>$K$97="Manually set to: Purple"</formula>
    </cfRule>
  </conditionalFormatting>
  <conditionalFormatting sqref="K102:K103">
    <cfRule type="expression" dxfId="120" priority="327">
      <formula>AND($B$102="% ThOD biodegradation after 28 days:",$D$102&gt;=60,ISNUMBER($D$102))</formula>
    </cfRule>
    <cfRule type="expression" dxfId="119" priority="325">
      <formula>AND($B$102="% ThOD biodegradation after 28 days:",$D$102&lt;60,$D$102&gt;=20,ISNUMBER($D$102))</formula>
    </cfRule>
    <cfRule type="expression" dxfId="118" priority="326">
      <formula>AND($B$102="% DOC biodegradation after 28 days:",$D$102&lt;70,$D$102&gt;=20,ISNUMBER($D$102))</formula>
    </cfRule>
    <cfRule type="expression" dxfId="117" priority="324">
      <formula>$B$102="Substance is inherently biodegradable"</formula>
    </cfRule>
    <cfRule type="expression" dxfId="116" priority="19">
      <formula>$K$102="Manually set to: Purple"</formula>
    </cfRule>
    <cfRule type="expression" dxfId="115" priority="318">
      <formula>$K$102="Manually set to: Grey"</formula>
    </cfRule>
    <cfRule type="expression" dxfId="114" priority="319">
      <formula>$K$102="Manually set to: Green"</formula>
    </cfRule>
    <cfRule type="expression" dxfId="113" priority="320">
      <formula>$K$102="Manually set to: Yellow"</formula>
    </cfRule>
    <cfRule type="expression" dxfId="112" priority="321">
      <formula>$K$102="Manually set to: Red"</formula>
    </cfRule>
    <cfRule type="expression" dxfId="111" priority="322" stopIfTrue="1">
      <formula>AND($B$102="% DOC biodegradation after 28 days:",$D$102&lt;20,ISNUMBER($D$102))</formula>
    </cfRule>
    <cfRule type="expression" dxfId="110" priority="323">
      <formula>AND($B$102="% ThOD biodegradation after 28 days:",$D$102&lt;20,ISNUMBER($D$102))</formula>
    </cfRule>
    <cfRule type="expression" dxfId="109" priority="328">
      <formula>AND($B$102="% DOC biodegradation after 28 days:",$D$102&gt;=70,ISNUMBER($D$102))</formula>
    </cfRule>
  </conditionalFormatting>
  <conditionalFormatting sqref="K105:K106">
    <cfRule type="expression" dxfId="108" priority="48">
      <formula>$K$105="Manually set to: Grey"</formula>
    </cfRule>
    <cfRule type="expression" dxfId="107" priority="49">
      <formula>$K$105="Manually set to: Green"</formula>
    </cfRule>
    <cfRule type="expression" dxfId="106" priority="50">
      <formula>$K$105="Manually set to: Yellow"</formula>
    </cfRule>
    <cfRule type="expression" dxfId="105" priority="51">
      <formula>$K$105="Manually set to: Red"</formula>
    </cfRule>
  </conditionalFormatting>
  <conditionalFormatting sqref="K108:K109">
    <cfRule type="expression" dxfId="104" priority="44">
      <formula>$K$108="Manually set to: Grey"</formula>
    </cfRule>
    <cfRule type="expression" dxfId="103" priority="45">
      <formula>$K$108="Manually set to: Green"</formula>
    </cfRule>
    <cfRule type="expression" dxfId="102" priority="47">
      <formula>$K$108="Manually set to: Red"</formula>
    </cfRule>
    <cfRule type="expression" dxfId="101" priority="46">
      <formula>$K$108="Manually set to: Yellow"</formula>
    </cfRule>
  </conditionalFormatting>
  <conditionalFormatting sqref="K111">
    <cfRule type="expression" dxfId="100" priority="43">
      <formula>$K$111="Manually set to: Green"</formula>
    </cfRule>
    <cfRule type="expression" dxfId="99" priority="42">
      <formula>$K$111="Manually set to: Yellow"</formula>
    </cfRule>
    <cfRule type="expression" dxfId="98" priority="41">
      <formula>$K$111="Manually set to: Red"</formula>
    </cfRule>
    <cfRule type="expression" dxfId="97" priority="40">
      <formula>$K$111="Manually set to: Grey"</formula>
    </cfRule>
  </conditionalFormatting>
  <conditionalFormatting sqref="K114">
    <cfRule type="expression" dxfId="96" priority="39">
      <formula>$K$114="Manually set to: Green"</formula>
    </cfRule>
    <cfRule type="expression" dxfId="95" priority="38">
      <formula>$K$114="Manually set to: Yellow"</formula>
    </cfRule>
    <cfRule type="expression" dxfId="94" priority="37">
      <formula>$K$114="Manually set to: Red"</formula>
    </cfRule>
    <cfRule type="expression" dxfId="93" priority="36">
      <formula>$K$114="Manually set to: Grey"</formula>
    </cfRule>
  </conditionalFormatting>
  <conditionalFormatting sqref="L18:L19">
    <cfRule type="expression" dxfId="92" priority="151">
      <formula>$L$18="Manually set to: Green"</formula>
    </cfRule>
    <cfRule type="expression" dxfId="91" priority="148">
      <formula>$L$18="Manually set to: Grey"</formula>
    </cfRule>
    <cfRule type="expression" dxfId="90" priority="150">
      <formula>$L$18="Manually set to: Yellow"</formula>
    </cfRule>
    <cfRule type="expression" dxfId="89" priority="149">
      <formula>$L$18="Manually set to: Red"</formula>
    </cfRule>
  </conditionalFormatting>
  <conditionalFormatting sqref="L21:L22">
    <cfRule type="expression" dxfId="88" priority="147">
      <formula>$L$21="Manually set to: Green"</formula>
    </cfRule>
    <cfRule type="expression" dxfId="87" priority="146">
      <formula>$L$21="Manually set to: Yellow"</formula>
    </cfRule>
    <cfRule type="expression" dxfId="86" priority="145">
      <formula>$L$21="Manually set to: Red"</formula>
    </cfRule>
    <cfRule type="expression" dxfId="85" priority="144">
      <formula>$L$21="Manually set to: Grey"</formula>
    </cfRule>
  </conditionalFormatting>
  <conditionalFormatting sqref="L24">
    <cfRule type="expression" dxfId="84" priority="140">
      <formula>$L$24="Manually set to: Grey"</formula>
    </cfRule>
    <cfRule type="expression" dxfId="83" priority="143">
      <formula>$L$24="Manually set to: Green"</formula>
    </cfRule>
    <cfRule type="expression" dxfId="82" priority="142">
      <formula>$L$24="Manually set to: Yellow"</formula>
    </cfRule>
    <cfRule type="expression" dxfId="81" priority="141">
      <formula>$L$24="Manually set to: Red"</formula>
    </cfRule>
  </conditionalFormatting>
  <conditionalFormatting sqref="L29">
    <cfRule type="expression" dxfId="80" priority="137">
      <formula>$L$29="Manually set to: Red"</formula>
    </cfRule>
    <cfRule type="expression" dxfId="79" priority="136">
      <formula>$L$29="Manually set to: Grey"</formula>
    </cfRule>
    <cfRule type="expression" dxfId="78" priority="138">
      <formula>$L$29="Manually set to: Yellow"</formula>
    </cfRule>
    <cfRule type="expression" dxfId="77" priority="139">
      <formula>$L$29="Manually set to: Green"</formula>
    </cfRule>
  </conditionalFormatting>
  <conditionalFormatting sqref="L33">
    <cfRule type="expression" dxfId="76" priority="135">
      <formula>$L$33="Manually set to: Green"</formula>
    </cfRule>
    <cfRule type="expression" dxfId="75" priority="134">
      <formula>$L$33="Manually set to: Yellow"</formula>
    </cfRule>
    <cfRule type="expression" dxfId="74" priority="133">
      <formula>$L$33="Manually set to: Red"</formula>
    </cfRule>
    <cfRule type="expression" dxfId="73" priority="132">
      <formula>$L$33="Manually set to: Grey"</formula>
    </cfRule>
  </conditionalFormatting>
  <conditionalFormatting sqref="L37:L38">
    <cfRule type="expression" dxfId="72" priority="131">
      <formula>$L$37="Manually set to: Green"</formula>
    </cfRule>
    <cfRule type="expression" dxfId="71" priority="130">
      <formula>$L$37="Manually set to: Yellow"</formula>
    </cfRule>
    <cfRule type="expression" dxfId="70" priority="129">
      <formula>$L$37="Manually set to: Red"</formula>
    </cfRule>
    <cfRule type="expression" dxfId="69" priority="128">
      <formula>$L$37="Manually set to: Grey"</formula>
    </cfRule>
  </conditionalFormatting>
  <conditionalFormatting sqref="L40">
    <cfRule type="expression" dxfId="68" priority="127">
      <formula>$L$40="Manually set to: Green"</formula>
    </cfRule>
    <cfRule type="expression" dxfId="67" priority="126">
      <formula>$L$40="Manually set to: Yellow"</formula>
    </cfRule>
    <cfRule type="expression" dxfId="66" priority="125">
      <formula>$L$40="Manually set to: Red"</formula>
    </cfRule>
    <cfRule type="expression" dxfId="65" priority="124">
      <formula>$L$40="Manually set to: Grey"</formula>
    </cfRule>
  </conditionalFormatting>
  <conditionalFormatting sqref="L46">
    <cfRule type="expression" dxfId="64" priority="123">
      <formula>$L$46="Manually set to: Green"</formula>
    </cfRule>
    <cfRule type="expression" dxfId="63" priority="122">
      <formula>$L$46="Manually set to: Yellow"</formula>
    </cfRule>
    <cfRule type="expression" dxfId="62" priority="121">
      <formula>$L$46="Manually set to: Red"</formula>
    </cfRule>
    <cfRule type="expression" dxfId="61" priority="120">
      <formula>$L$46="Manually set to: Grey"</formula>
    </cfRule>
  </conditionalFormatting>
  <conditionalFormatting sqref="L52">
    <cfRule type="expression" dxfId="60" priority="119">
      <formula>$L$52="Manually set to: Green"</formula>
    </cfRule>
    <cfRule type="expression" dxfId="59" priority="118">
      <formula>$L$52="Manually set to: Yellow"</formula>
    </cfRule>
    <cfRule type="expression" dxfId="58" priority="117">
      <formula>$L$52="Manually set to: Red"</formula>
    </cfRule>
    <cfRule type="expression" dxfId="57" priority="116">
      <formula>$L$52="Manually set to: Grey"</formula>
    </cfRule>
  </conditionalFormatting>
  <conditionalFormatting sqref="L58">
    <cfRule type="expression" dxfId="56" priority="112">
      <formula>$L$58="Manually set to: Grey"</formula>
    </cfRule>
    <cfRule type="expression" dxfId="55" priority="115">
      <formula>$L$58="Manually set to: Green"</formula>
    </cfRule>
    <cfRule type="expression" dxfId="54" priority="114">
      <formula>$L$58="Manually set to: Yellow"</formula>
    </cfRule>
    <cfRule type="expression" dxfId="53" priority="113">
      <formula>$L$58="Manually set to: Red"</formula>
    </cfRule>
  </conditionalFormatting>
  <conditionalFormatting sqref="L64">
    <cfRule type="expression" dxfId="52" priority="108">
      <formula>$L$64="Manually set to: Grey"</formula>
    </cfRule>
    <cfRule type="expression" dxfId="51" priority="109">
      <formula>$L$64="Manually set to: Red"</formula>
    </cfRule>
    <cfRule type="expression" dxfId="50" priority="110">
      <formula>$L$64="Manually set to: Yellow"</formula>
    </cfRule>
    <cfRule type="expression" dxfId="49" priority="111">
      <formula>$L$64="Manually set to: Green"</formula>
    </cfRule>
  </conditionalFormatting>
  <conditionalFormatting sqref="L68:L70">
    <cfRule type="expression" dxfId="48" priority="104">
      <formula>$L$68="Manually set to: Grey"</formula>
    </cfRule>
    <cfRule type="expression" dxfId="47" priority="107">
      <formula>$L$68="Manually set to: Green"</formula>
    </cfRule>
    <cfRule type="expression" dxfId="46" priority="106">
      <formula>$L$68="Manually set to: Yellow"</formula>
    </cfRule>
    <cfRule type="expression" dxfId="45" priority="105">
      <formula>$L$68="Manually set to: Red"</formula>
    </cfRule>
  </conditionalFormatting>
  <conditionalFormatting sqref="L73">
    <cfRule type="expression" dxfId="44" priority="103">
      <formula>$L$73="Manually set to: Green"</formula>
    </cfRule>
    <cfRule type="expression" dxfId="43" priority="102">
      <formula>$L$73="Manually set to: Yellow"</formula>
    </cfRule>
    <cfRule type="expression" dxfId="42" priority="101">
      <formula>$L$73="Manually set to: Red"</formula>
    </cfRule>
    <cfRule type="expression" dxfId="41" priority="100">
      <formula>$L$73="Manually set to: Grey"</formula>
    </cfRule>
  </conditionalFormatting>
  <conditionalFormatting sqref="L79">
    <cfRule type="expression" dxfId="40" priority="99">
      <formula>$L$79="Manually set to: Green"</formula>
    </cfRule>
    <cfRule type="expression" dxfId="39" priority="98">
      <formula>$L$79="Manually set to: Yellow"</formula>
    </cfRule>
    <cfRule type="expression" dxfId="38" priority="97">
      <formula>$L$79="Manually set to: Red"</formula>
    </cfRule>
    <cfRule type="expression" dxfId="37" priority="96">
      <formula>$L$79="Manually set to: Grey"</formula>
    </cfRule>
  </conditionalFormatting>
  <conditionalFormatting sqref="L85">
    <cfRule type="expression" dxfId="36" priority="93">
      <formula>$L$85="Manually set to: Red"</formula>
    </cfRule>
    <cfRule type="expression" dxfId="35" priority="94">
      <formula>$L$85="Manually set to: Yellow"</formula>
    </cfRule>
    <cfRule type="expression" dxfId="34" priority="95">
      <formula>$L$85="Manually set to: Green"</formula>
    </cfRule>
    <cfRule type="expression" dxfId="33" priority="92">
      <formula>$L$85="Manually set to: Grey"</formula>
    </cfRule>
  </conditionalFormatting>
  <conditionalFormatting sqref="L91:L92">
    <cfRule type="expression" dxfId="32" priority="91">
      <formula>$L$91="Manually set to: Green"</formula>
    </cfRule>
    <cfRule type="expression" dxfId="31" priority="90">
      <formula>$L$91="Manually set to: Yellow"</formula>
    </cfRule>
    <cfRule type="expression" dxfId="30" priority="89">
      <formula>$L$91="Manually set to: Red"</formula>
    </cfRule>
    <cfRule type="expression" dxfId="29" priority="88">
      <formula>$L$91="Manually set to: Grey"</formula>
    </cfRule>
  </conditionalFormatting>
  <conditionalFormatting sqref="L94:L95">
    <cfRule type="expression" dxfId="28" priority="87">
      <formula>$L$94="Manually set to: Green"</formula>
    </cfRule>
    <cfRule type="expression" dxfId="27" priority="86">
      <formula>$L$94="Manually set to: Yellow"</formula>
    </cfRule>
    <cfRule type="expression" dxfId="26" priority="85">
      <formula>$L$94="Manually set to: Red"</formula>
    </cfRule>
    <cfRule type="expression" dxfId="25" priority="84">
      <formula>$L$94="Manually set to: Grey"</formula>
    </cfRule>
  </conditionalFormatting>
  <conditionalFormatting sqref="L97">
    <cfRule type="expression" dxfId="24" priority="80">
      <formula>$L$97="Manually set to: Grey"</formula>
    </cfRule>
    <cfRule type="expression" dxfId="23" priority="83">
      <formula>$L$97="Manually set to: Green"</formula>
    </cfRule>
    <cfRule type="expression" dxfId="22" priority="82">
      <formula>$L$97="Manually set to: Yellow"</formula>
    </cfRule>
    <cfRule type="expression" dxfId="21" priority="81">
      <formula>$L$97="Manually set to: Red"</formula>
    </cfRule>
  </conditionalFormatting>
  <conditionalFormatting sqref="L102:L103">
    <cfRule type="expression" dxfId="20" priority="76">
      <formula>$L$102="Manually set to: Grey"</formula>
    </cfRule>
    <cfRule type="expression" dxfId="19" priority="79">
      <formula>$L$102="Manually set to: Green"</formula>
    </cfRule>
    <cfRule type="expression" dxfId="18" priority="78">
      <formula>$L$102="Manually set to: Yellow"</formula>
    </cfRule>
    <cfRule type="expression" dxfId="17" priority="77">
      <formula>$L$102="Manually set to: Red"</formula>
    </cfRule>
  </conditionalFormatting>
  <conditionalFormatting sqref="L105:L106">
    <cfRule type="expression" dxfId="16" priority="72">
      <formula>$L$105="Manually set to: Grey"</formula>
    </cfRule>
    <cfRule type="expression" dxfId="15" priority="73">
      <formula>$L$105="Manually set to: Red"</formula>
    </cfRule>
    <cfRule type="expression" dxfId="14" priority="74">
      <formula>$L$105="Manually set to: Yellow"</formula>
    </cfRule>
    <cfRule type="expression" dxfId="13" priority="75">
      <formula>$L$105="Manually set to: Green"</formula>
    </cfRule>
  </conditionalFormatting>
  <conditionalFormatting sqref="L108:L109">
    <cfRule type="expression" dxfId="12" priority="71">
      <formula>$L$108="Manually set to: Green"</formula>
    </cfRule>
    <cfRule type="expression" dxfId="11" priority="68">
      <formula>$L$108="Manually set to: Grey"</formula>
    </cfRule>
    <cfRule type="expression" dxfId="10" priority="70">
      <formula>$L$108="Manually set to: Yellow"</formula>
    </cfRule>
    <cfRule type="expression" dxfId="9" priority="69">
      <formula>$L$108="Manually set to: Red"</formula>
    </cfRule>
  </conditionalFormatting>
  <conditionalFormatting sqref="L116:L117">
    <cfRule type="expression" dxfId="8" priority="14">
      <formula>$L$116="Manually set to: Grey"</formula>
    </cfRule>
    <cfRule type="expression" dxfId="7" priority="13">
      <formula>$L$116="Manually set to: Red"</formula>
    </cfRule>
    <cfRule type="expression" dxfId="6" priority="12">
      <formula>$L$116="Manually set to: Yellow"</formula>
    </cfRule>
    <cfRule type="expression" dxfId="5" priority="11">
      <formula>$L$116="Manually set to: Green"</formula>
    </cfRule>
  </conditionalFormatting>
  <conditionalFormatting sqref="L118:L119">
    <cfRule type="expression" dxfId="4" priority="15">
      <formula>$L$118="Manually set to: Grey"</formula>
    </cfRule>
    <cfRule type="expression" dxfId="3" priority="16">
      <formula>$L$118="Manually set to: Red"</formula>
    </cfRule>
    <cfRule type="expression" dxfId="2" priority="17">
      <formula>$L$118="Manually set to: Yellow"</formula>
    </cfRule>
    <cfRule type="expression" dxfId="1" priority="18">
      <formula>$L$118="Manually set to: Green"</formula>
    </cfRule>
  </conditionalFormatting>
  <conditionalFormatting sqref="R22">
    <cfRule type="expression" dxfId="0" priority="186">
      <formula>AND(M23="Positive",M24="Positive")</formula>
    </cfRule>
  </conditionalFormatting>
  <dataValidations count="28">
    <dataValidation type="list" allowBlank="1" showInputMessage="1" sqref="C25:E25" xr:uid="{33C092C8-9891-314E-8991-562C9F6CB5ED}">
      <formula1>"In vitro bact: OECD 471 (Ames), In vitro mam: OECD 476, In vitro mam: OECD 490, In vivo mam: OECD 488, In vivo mam: OECD 486, In vivo mam: OECD 489,No data"</formula1>
    </dataValidation>
    <dataValidation type="list" allowBlank="1" showInputMessage="1" showErrorMessage="1" sqref="K6" xr:uid="{761852E5-121C-EF46-847E-FA074F850332}">
      <formula1>"Checked,Not checked,Need QC"</formula1>
    </dataValidation>
    <dataValidation type="list" allowBlank="1" showInputMessage="1" sqref="C18:F18" xr:uid="{4016F22B-A904-5A45-89B0-22EBA5B067C2}">
      <formula1>"Not listed,Carc. 1A: H350: May cause cancer,Carc. 1B: H350: May cause cancer,Carc. 2: H351: Suspected of causing cancer,MAK III 1,MAK III 2,MAK III 3B,MAK III 3A,MAK III 4,MAK III 5,IARC 1,IARC 2A,IARC 2B,IARC 3,IARC 4,TLV A1,TLV A2,TLV A3,TLV A4,TLV A5"</formula1>
    </dataValidation>
    <dataValidation type="list" allowBlank="1" showInputMessage="1" sqref="F25" xr:uid="{7A0A8F31-64B4-A342-B73E-DC7376B55219}">
      <formula1>"Positive,Negative"</formula1>
    </dataValidation>
    <dataValidation type="list" allowBlank="1" showInputMessage="1" showErrorMessage="1" sqref="B30 B34" xr:uid="{F9B90D40-37BD-A847-A09E-72350900FEFF}">
      <formula1>"Oral NOAEL =,Inhalation NOAEL ="</formula1>
    </dataValidation>
    <dataValidation type="list" allowBlank="1" showInputMessage="1" showErrorMessage="1" sqref="C24:F24" xr:uid="{184E0AED-534F-554B-9332-CCC801B8F92C}">
      <formula1>"Muta. 1A: H340: May cause genetic defects,Muta. 1B: H340: May cause genetic defects,Muta. 2: H341: Suspected of causing genetic defects,MAK IX 1,MAK IX 2,MAK IX 3A, MAK IX 3B, Not listed"</formula1>
    </dataValidation>
    <dataValidation type="list" allowBlank="1" showInputMessage="1" showErrorMessage="1" sqref="L114:L116 K18:L19 K21:L22 L29 K37:L38 L33 L40 L52 K24:L24 L64 K91:L92 K94:L95 K111:L112 K105:L106 K108:L109 K29:K31 K33:K35 K40:K44 K85:L85 K52:K56 K68:K69 K64:K66 K46:L46 K58:L58 K79:L79 K73:L73 L102:L103 L118 K114:K115 L68:L70 L97" xr:uid="{C234B317-2A06-4940-BF35-3CCDD719952D}">
      <formula1>"Manually set to: Green,Manually set to: Yellow,Manually set to: Red,Manually set to: Grey"</formula1>
    </dataValidation>
    <dataValidation type="list" allowBlank="1" showInputMessage="1" showErrorMessage="1" sqref="B48" xr:uid="{8056456D-C180-0646-8435-1A6D6A96C2F1}">
      <formula1>"Acute: LC50 (gas) =,Acute: LC50 (vapor) =,Acute: LC50 (dust/mist/aerosol) ="</formula1>
    </dataValidation>
    <dataValidation type="list" allowBlank="1" showInputMessage="1" showErrorMessage="1" sqref="B49" xr:uid="{9C6CA473-5392-6149-85B9-E57B56125D78}">
      <formula1>"Chronic: LOAEL (gas) =,Chronic: LOAEL (vapor) =,Chronic: LOAEL (dust/mist/aerosol) ="</formula1>
    </dataValidation>
    <dataValidation type="list" allowBlank="1" showInputMessage="1" showErrorMessage="1" sqref="K97 K102:K103" xr:uid="{557B864F-AADE-CA4D-B501-909C8912D2C4}">
      <formula1>"Manually set to: Green,Manually set to: Yellow,Manually set to: Red,Manually set to: Grey,Manually set to: Purple"</formula1>
    </dataValidation>
    <dataValidation type="list" allowBlank="1" showInputMessage="1" showErrorMessage="1" sqref="C33" xr:uid="{2FA31AD9-2F05-854E-AF3F-9745E8302885}">
      <formula1>"Not listed,Repr. 1A: H360: May damage fertility or the unborn child,Repr. 1B: H360: May damage fertility or the unborn child, Repr. 2: H361: Suspected of damaging fertility or the unborn child,MAK A,MAK B,MAK C"</formula1>
    </dataValidation>
    <dataValidation type="list" allowBlank="1" showInputMessage="1" showErrorMessage="1" sqref="C41" xr:uid="{C63A6FAF-EAC7-C945-B68F-F541FD195E56}">
      <formula1>"/,STOT SE 1: H370: Causes damage to organs via oral exposure,STOT SE 2: H371: May cause damage to organs via oral exposure,STOT RE 1: H372: Causes damage via repeated oral exposure,STOT RE 2: H373: May cause damage via repeated oral exposure"</formula1>
    </dataValidation>
    <dataValidation type="list" allowBlank="1" showInputMessage="1" showErrorMessage="1" sqref="C40" xr:uid="{E5475085-7E74-ED40-94BF-C56EC14014CA}">
      <formula1>"Not classified, Acute Tox. 1: H300: Fatal if swallowed,Acute Tox. 2: H300: Fatal if swallowed,Acute Tox. 3: H301: Toxic if swallowed,Acute Tox. 4: H302: Harmful if swallowed,Asp. Tox. 1: H304: May be fatal if swallowed and enters airways"</formula1>
    </dataValidation>
    <dataValidation type="list" allowBlank="1" showInputMessage="1" showErrorMessage="1" sqref="C52" xr:uid="{C7AAD60A-71FC-2E4B-A4F9-BB1F6B4E6546}">
      <formula1>"Not classified,Acute Tox. 1: H310: Fatal in contact with skin,Acute Tox. 2: H310: Fatal in contact with skin,Acute Tox. 3: H311: Toxic in contact with skin,Acute Tox. 4: H312: Harmful in contact with skin"</formula1>
    </dataValidation>
    <dataValidation type="list" allowBlank="1" showInputMessage="1" showErrorMessage="1" sqref="C53" xr:uid="{E01300E3-2C14-5841-A1D6-6B34B590C5F3}">
      <formula1>"/,STOT SE 1: H370: Causes damage to organs via dermal exposure,STOT SE 2: H371: May cause damage to organs via dermal exposure,STOT RE 1: H372: Causes damage via repeated dermal exposure,STOT RE 2: H373: May cause damage via repeated dermal exposure"</formula1>
    </dataValidation>
    <dataValidation type="list" allowBlank="1" showInputMessage="1" showErrorMessage="1" sqref="C58:F58" xr:uid="{0EF85A55-6D2F-5244-B9DD-DBFE773C614C}">
      <formula1>"Skin Corr. 1: H314 Causes severe skin burns and eye damage, Skin Irrit. 2: H315 Causes skin irritation, Not irritating according to testing,Skin irritating according to testing,Skin corrosive according to testing,No data"</formula1>
    </dataValidation>
    <dataValidation type="list" allowBlank="1" showInputMessage="1" showErrorMessage="1" sqref="C46" xr:uid="{45A94BE3-D417-DE4D-B2CA-C06294D62C67}">
      <formula1>"Not classified,Acute Tox. 1: H330: Fatal if inhaled,Acute Tox. 2: H330: Fatal if inhaled,Acute Tox. 3: H331: Toxic if inhaled,Acute Tox. 4: H332: Harmful if inhaled"</formula1>
    </dataValidation>
    <dataValidation type="list" allowBlank="1" showInputMessage="1" showErrorMessage="1" sqref="C47" xr:uid="{C7A32F90-A3F5-0B4B-BD7F-849168A232C4}">
      <formula1>"/,STOT SE 1: H370: Damages organs via inhal. exp.,STOT SE 2: H371: May damage organs via inhal. exp.,STOT RE 1: H372: Damages organs via repeated inhal. exp.,STOT RE 2: H373: May damage organs via repeated inhal. exp.,STOT SE 3: H336: May cause drowsiness"</formula1>
    </dataValidation>
    <dataValidation type="list" allowBlank="1" showInputMessage="1" showErrorMessage="1" sqref="C73:F73 C79:F79 C85:F85" xr:uid="{6A5D86EE-2323-FD4E-82EB-3DA3064DB521}">
      <formula1>"Not Classified,Aqua. Acute 1: H400,Aqua. Acute 2: H401,Aqua. Acute 3: H402,Aqua. Chronic 1: H410,Aqua. Chronic 2: H411,Aqua. Chronic 3: H412,Aqua. Chronic 4: H413"</formula1>
    </dataValidation>
    <dataValidation type="list" allowBlank="1" showInputMessage="1" sqref="C59:F59" xr:uid="{2885AEDD-CEC4-1448-A5C9-7974234D782F}">
      <formula1>"Eye Dam. 1: H318 Causes serious eye damage,Eye irrit. 2a: H319 Causes serious eye irritation,Eye irrit. 2b: H320 Causes eye irritation,Not irritating according to testing,Eye irritating according to testing,Eye damaging according to testing,No data"</formula1>
    </dataValidation>
    <dataValidation type="list" allowBlank="1" showInputMessage="1" showErrorMessage="1" sqref="C60:F60" xr:uid="{8B004B9B-394D-2041-9BF2-027CA60339D8}">
      <formula1>"STOT SE 3: H335 May cause respiratory tract irritation, Not irritating according to testing, Irritating according to testing, Corrosive according to testing, No data"</formula1>
    </dataValidation>
    <dataValidation type="list" allowBlank="1" showInputMessage="1" showErrorMessage="1" sqref="B102:C102" xr:uid="{A6EE37FC-8A44-674E-A755-2760EAA0ABC6}">
      <formula1>"% DOC biodegradation after 28 days:,% ThOD biodegradation after 28 days:,Substance is inherently biodegradable,Degradation halflife time in air:,Degradation halflife time in water, soil or sediment:,QSAR prediction:"</formula1>
    </dataValidation>
    <dataValidation type="list" allowBlank="1" showInputMessage="1" showErrorMessage="1" sqref="C64:F64" xr:uid="{4800E4DC-A30E-4542-826E-AE8BE22F92A2}">
      <formula1>"Skin Sens. 1: H317 May cause an allergic skin reaction,MAK Sh,Not sensitzing according to testing,Sensitizing according to testing,No data"</formula1>
    </dataValidation>
    <dataValidation type="list" allowBlank="1" showInputMessage="1" showErrorMessage="1" sqref="C65:F65" xr:uid="{BC40DD1A-E9D4-4643-9AD5-7B620C83A2AD}">
      <formula1>" Resp. Sens. 1: H334 May cause allergy or asthma symptoms or breathing difficulties if inhaled, MAK Sa, Not sensitzing according to testing, Sensitizing according to testing, No data"</formula1>
    </dataValidation>
    <dataValidation type="list" allowBlank="1" showInputMessage="1" showErrorMessage="1" sqref="B97" xr:uid="{203D7790-42FE-A14C-A682-FCC7389574A1}">
      <formula1>"BCF/BAF (experimental):,BCF/BAF (QSAR):"</formula1>
    </dataValidation>
    <dataValidation type="list" allowBlank="1" showInputMessage="1" showErrorMessage="1" sqref="C29:F29" xr:uid="{CB7F041C-F362-9D46-AAA2-C6C7DBAFC969}">
      <formula1>"Not listed,Repr. 1A: H360: May damage fertility or the unborn child,Repr. 1B: H360: May damage fertility or the unborn child, Repr. 2: H361: Suspected of damaging fertility or the unborn child,MAK A,MAK B,MAK C,H362: Reproductive toxic through lactation"</formula1>
    </dataValidation>
    <dataValidation type="list" allowBlank="1" showInputMessage="1" sqref="C26:E26" xr:uid="{39ED77AD-BE87-5C46-A145-A3012A777939}">
      <formula1>"In vitro mam: OECD 473,In vitro mam: OECD 487,In vivo mam: OECD 478,In vivo mam: OECD 483,In vivo mam: OECD 485,In vivo mam: OECD 474,In vivo mam: OECD 475,In vivo mam: OECD 488,In vivo mam: OECD 486,In vivo mam: OECD 489,No data"</formula1>
    </dataValidation>
    <dataValidation type="list" allowBlank="1" showInputMessage="1" showErrorMessage="1" sqref="F26" xr:uid="{EC7EB420-FA30-2F41-8B7A-A2C6A726DA4D}">
      <formula1>"Positive,Negative"</formula1>
    </dataValidation>
  </dataValidations>
  <hyperlinks>
    <hyperlink ref="B132" r:id="rId1" xr:uid="{D5C5F950-4FF2-C54B-90DE-9826830C5E1C}"/>
    <hyperlink ref="B133" r:id="rId2" xr:uid="{5E366D6B-DD5F-6E44-84EE-2DAE0629DDBF}"/>
    <hyperlink ref="B134" r:id="rId3" xr:uid="{56B3534F-C177-7E41-9F17-A7158515A477}"/>
    <hyperlink ref="B135" r:id="rId4" xr:uid="{DCF988B5-1F90-3845-B296-FF9056EB0EF2}"/>
    <hyperlink ref="B137" r:id="rId5" xr:uid="{A8A6D6B4-44EA-2343-BC97-D5AD83B6B86C}"/>
    <hyperlink ref="B136" r:id="rId6" xr:uid="{C2A0F650-2E17-A641-A225-69710BF64064}"/>
    <hyperlink ref="B138" r:id="rId7" xr:uid="{B5CB0A2F-F0F3-DA44-98E1-E47DABB1DBCA}"/>
    <hyperlink ref="B139" r:id="rId8" xr:uid="{13F27D97-FD97-6D45-B648-38B2C68B77B5}"/>
    <hyperlink ref="B140" r:id="rId9" xr:uid="{0D8B0AC9-29C2-D545-BE95-DA8FA5391C66}"/>
    <hyperlink ref="B141" r:id="rId10" xr:uid="{354D56A9-1C2D-FE4B-B433-1550E27F0C39}"/>
    <hyperlink ref="B142" r:id="rId11" xr:uid="{E7BF0095-0B40-674E-B3C9-224FCFAA857D}"/>
    <hyperlink ref="B143" r:id="rId12" xr:uid="{C06FCBFD-F37B-A545-9843-A50E0F9C9574}"/>
    <hyperlink ref="B144" r:id="rId13" xr:uid="{6EB1DBE6-D5E9-304A-BD0B-0D2D39525591}"/>
    <hyperlink ref="B145" r:id="rId14" xr:uid="{636CFF49-4436-7346-96BE-6A5FFE3BBCA9}"/>
    <hyperlink ref="B146" r:id="rId15" xr:uid="{FA719E00-6660-3E4A-B7D5-C6CA4BE8EDCD}"/>
    <hyperlink ref="B147" r:id="rId16" xr:uid="{E75D2D37-8249-544F-819F-52BA8A0CCD68}"/>
    <hyperlink ref="B148" r:id="rId17" xr:uid="{E3880A3E-36AE-D140-A4A4-81AF3A162F7C}"/>
    <hyperlink ref="B149" r:id="rId18" xr:uid="{D19FE5AE-66B5-D347-B601-D9876B034259}"/>
    <hyperlink ref="B150" r:id="rId19" xr:uid="{F1608F0E-18D8-E341-AB1D-E412C291B39B}"/>
    <hyperlink ref="B151" r:id="rId20" xr:uid="{987415E5-6DA0-7340-BF58-FD35EE4A1D84}"/>
    <hyperlink ref="B152" r:id="rId21" xr:uid="{DF601990-5486-5048-B2C2-D4B338192EE7}"/>
    <hyperlink ref="B155" r:id="rId22" xr:uid="{6FB46C96-6CF3-0B4C-AD6C-B01B0ACB1D7F}"/>
  </hyperlinks>
  <pageMargins left="0.7" right="0.7" top="0.75" bottom="0.75" header="0.3" footer="0.3"/>
  <drawing r:id="rId2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616-47-7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Lentink</dc:creator>
  <cp:lastModifiedBy>Sarah Lentink</cp:lastModifiedBy>
  <dcterms:created xsi:type="dcterms:W3CDTF">2025-07-15T12:36:49Z</dcterms:created>
  <dcterms:modified xsi:type="dcterms:W3CDTF">2025-07-15T12:54:29Z</dcterms:modified>
</cp:coreProperties>
</file>